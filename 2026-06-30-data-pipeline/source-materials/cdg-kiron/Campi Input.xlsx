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xtgroup.sharepoint.com/sites/Novigo-Sharepoint/FileServerNovigo/Sales/offerte Novigo TMP/OFF_Kiron/2025_KIR_004 - CDG/Analisi funzionale/"/>
    </mc:Choice>
  </mc:AlternateContent>
  <xr:revisionPtr revIDLastSave="550" documentId="11_4AA926553FA9453CFEFC8F3A8D7903A2D8E27826" xr6:coauthVersionLast="47" xr6:coauthVersionMax="47" xr10:uidLastSave="{88F2EA5A-C7DF-4B9D-BAEB-08FDC9AA72ED}"/>
  <bookViews>
    <workbookView xWindow="-108" yWindow="-108" windowWidth="23256" windowHeight="13896" firstSheet="1" activeTab="3" xr2:uid="{00000000-000D-0000-FFFF-FFFF00000000}"/>
  </bookViews>
  <sheets>
    <sheet name="Convenzioni codifica" sheetId="1" r:id="rId1"/>
    <sheet name="Dizionario campi" sheetId="12" r:id="rId2"/>
    <sheet name="Campus" sheetId="7" r:id="rId3"/>
    <sheet name="C20-Incentivi" sheetId="13" r:id="rId4"/>
    <sheet name="INF1.1-Analitica mese" sheetId="5" r:id="rId5"/>
    <sheet name="INF1.2-Analitica YTD" sheetId="2" r:id="rId6"/>
    <sheet name="INF2.1-Input map bil mese" sheetId="6" r:id="rId7"/>
    <sheet name="INF2.1-Input map bil YTD" sheetId="3" r:id="rId8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8" i="2"/>
  <c r="A8" i="5"/>
  <c r="A9" i="5"/>
  <c r="A7" i="13"/>
  <c r="A8" i="13"/>
  <c r="A9" i="13"/>
  <c r="A2" i="3"/>
  <c r="A2" i="6"/>
  <c r="A2" i="2"/>
  <c r="A2" i="5"/>
  <c r="A2" i="13"/>
  <c r="C1" i="7"/>
  <c r="A13" i="7"/>
  <c r="A20" i="7"/>
  <c r="A19" i="7"/>
  <c r="A18" i="7"/>
  <c r="A17" i="7"/>
  <c r="A16" i="7"/>
  <c r="A15" i="7"/>
  <c r="A14" i="7"/>
  <c r="O1" i="7" l="1"/>
  <c r="N1" i="7"/>
  <c r="M1" i="7"/>
  <c r="L1" i="7"/>
  <c r="K1" i="7"/>
  <c r="J1" i="7"/>
  <c r="I1" i="7"/>
  <c r="H1" i="7"/>
  <c r="G1" i="7"/>
  <c r="F1" i="7"/>
  <c r="E1" i="7"/>
  <c r="D1" i="7"/>
  <c r="A7" i="3"/>
  <c r="A6" i="3"/>
  <c r="A5" i="3"/>
  <c r="A4" i="3"/>
  <c r="A3" i="3"/>
  <c r="A7" i="6"/>
  <c r="A6" i="6"/>
  <c r="A5" i="6"/>
  <c r="A4" i="6"/>
  <c r="A3" i="6"/>
  <c r="A7" i="2"/>
  <c r="A6" i="2"/>
  <c r="A5" i="2"/>
  <c r="A4" i="2"/>
  <c r="A3" i="2"/>
  <c r="A7" i="5"/>
  <c r="A6" i="5"/>
  <c r="A5" i="5"/>
  <c r="A4" i="5"/>
  <c r="A3" i="5"/>
  <c r="A6" i="13"/>
  <c r="A5" i="13"/>
  <c r="A4" i="13"/>
  <c r="A3" i="13"/>
</calcChain>
</file>

<file path=xl/sharedStrings.xml><?xml version="1.0" encoding="utf-8"?>
<sst xmlns="http://schemas.openxmlformats.org/spreadsheetml/2006/main" count="356" uniqueCount="95">
  <si>
    <t>Prefisso codifica</t>
  </si>
  <si>
    <t>Significato</t>
  </si>
  <si>
    <t>Input estratti da Zucchetti Infinity (Co.Ge.).</t>
  </si>
  <si>
    <t>E / R / RA / C / CS / I</t>
  </si>
  <si>
    <t>Codici voce del Conto Economico gestionale.</t>
  </si>
  <si>
    <t>C20</t>
  </si>
  <si>
    <t>Input estratti da Campus 2.0 (Tool Incentive).</t>
  </si>
  <si>
    <t>Tabelle guida CDG.</t>
  </si>
  <si>
    <t>Processi (Actual / Forecast).</t>
  </si>
  <si>
    <t>Output del modulo.</t>
  </si>
  <si>
    <t>Regole di ribaltamento</t>
  </si>
  <si>
    <t>Step delle regole di proiezione Forecast</t>
  </si>
  <si>
    <t>Fonte</t>
  </si>
  <si>
    <t>Data di riferimento</t>
  </si>
  <si>
    <t>Mediazione</t>
  </si>
  <si>
    <t>Voce</t>
  </si>
  <si>
    <t>Conto contabile</t>
  </si>
  <si>
    <t>Importo</t>
  </si>
  <si>
    <t>Data erogazione</t>
  </si>
  <si>
    <t>Categoria prodotto</t>
  </si>
  <si>
    <t>Tipo tasso</t>
  </si>
  <si>
    <t>Istituto</t>
  </si>
  <si>
    <t>Collaboratore</t>
  </si>
  <si>
    <t>Gestore</t>
  </si>
  <si>
    <t>Tutor</t>
  </si>
  <si>
    <t>Senior</t>
  </si>
  <si>
    <t>Responsabile area</t>
  </si>
  <si>
    <t>Agenzia Kiron</t>
  </si>
  <si>
    <t>Codice campo</t>
  </si>
  <si>
    <t>Campo</t>
  </si>
  <si>
    <t>Infinity</t>
  </si>
  <si>
    <t>Campus</t>
  </si>
  <si>
    <t>Compagnia</t>
  </si>
  <si>
    <t>INF#</t>
  </si>
  <si>
    <t>TG#</t>
  </si>
  <si>
    <t>P#</t>
  </si>
  <si>
    <t>O1#</t>
  </si>
  <si>
    <t>RIB#</t>
  </si>
  <si>
    <t>STEP#</t>
  </si>
  <si>
    <t>Campus / Infinity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</si>
  <si>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</si>
  <si>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</si>
  <si>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</si>
  <si>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</si>
  <si>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</si>
  <si>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</si>
  <si>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</si>
  <si>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</si>
  <si>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</si>
  <si>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</si>
  <si>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</si>
  <si>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</si>
  <si>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</si>
  <si>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</si>
  <si>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</si>
  <si>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</si>
  <si>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</si>
  <si>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D19</t>
  </si>
  <si>
    <t>Erogato</t>
  </si>
  <si>
    <t>Payin cliente</t>
  </si>
  <si>
    <t>Payin istituto</t>
  </si>
  <si>
    <t>Codice voce</t>
  </si>
  <si>
    <t>x</t>
  </si>
  <si>
    <t>E1</t>
  </si>
  <si>
    <t>R1</t>
  </si>
  <si>
    <t>R2</t>
  </si>
  <si>
    <t>C4</t>
  </si>
  <si>
    <t>C7</t>
  </si>
  <si>
    <t>C9</t>
  </si>
  <si>
    <t>Payout</t>
  </si>
  <si>
    <t>Coordinamento rete</t>
  </si>
  <si>
    <t>Payout progetto giovani</t>
  </si>
  <si>
    <t>Prodotto</t>
  </si>
  <si>
    <t>Raggruppare a livello di elemento più basso del catalogo prodotti</t>
  </si>
  <si>
    <t>Raggruppare a livello di istituto</t>
  </si>
  <si>
    <t>Raggruppare a livello di tipo tasso</t>
  </si>
  <si>
    <t>Data estrazione</t>
  </si>
  <si>
    <t>Raggruppare a livello di collaboratore</t>
  </si>
  <si>
    <t>Ogni mese estrarre i dati di competenza del mese, nei mesi successivi si conguaglia (registrando il delta quando si rileva)</t>
  </si>
  <si>
    <t>Campi</t>
  </si>
  <si>
    <t>D21</t>
  </si>
  <si>
    <t>Anno di riferimento</t>
  </si>
  <si>
    <t>Mese di riferimento</t>
  </si>
  <si>
    <t>Data di competenza</t>
  </si>
  <si>
    <t>Anno di competenza</t>
  </si>
  <si>
    <t>Mese di competenza</t>
  </si>
  <si>
    <t>Data in cui si estraggono gli input</t>
  </si>
  <si>
    <t>D0</t>
  </si>
  <si>
    <t>Indicazione per estrazione</t>
  </si>
  <si>
    <t>Indicazioni per l'estrazione</t>
  </si>
  <si>
    <t>Incentivi passivi</t>
  </si>
  <si>
    <t>Raggruppare a livello di elemento più basso del catalogo prodotti disponibile</t>
  </si>
  <si>
    <t>Tutte le voci, alcune serviranno da input veri e propri, le altre (i cui input provengono da Campus e Campus 2.0) verranno utilizzate ai fini della riconciliazione</t>
  </si>
  <si>
    <t>Conti contabili principali per cui è presente la suddivisione per categoria prodotto (payout, servizi di certificazione documentale, payin, rimborsi, rappel)</t>
  </si>
  <si>
    <t>Voci principali per cui è presente la suddivisione per categoria prodotto (payout, servizi di certificazione documentale, payin, rimborsi, rappel)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</si>
</sst>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Poppins"/>
    </font>
    <font>
      <b/>
      <sz val="9"/>
      <name val="Poppins"/>
    </font>
    <font>
      <sz val="9"/>
      <name val="Poppins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0" fontId="1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e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20" sqref="B20"/>
    </sheetView>
  </sheetViews>
  <sheetFormatPr defaultRowHeight="14.4" x14ac:dyDescent="0.3"/>
  <cols>
    <col min="1" max="1" width="17.21875" bestFit="1" customWidth="1"/>
    <col min="2" max="2" width="39.77734375" bestFit="1" customWidth="1"/>
  </cols>
  <sheetData>
    <row r="1" spans="1:2" ht="18" thickBot="1" x14ac:dyDescent="0.35">
      <c r="A1" s="1" t="s">
        <v>0</v>
      </c>
      <c r="B1" s="2" t="s">
        <v>1</v>
      </c>
    </row>
    <row r="2" spans="1:2" ht="18" thickBot="1" x14ac:dyDescent="0.35">
      <c r="A2" s="3" t="s">
        <v>33</v>
      </c>
      <c r="B2" s="4" t="s">
        <v>2</v>
      </c>
    </row>
    <row r="3" spans="1:2" ht="18" thickBot="1" x14ac:dyDescent="0.35">
      <c r="A3" s="3" t="s">
        <v>3</v>
      </c>
      <c r="B3" s="4" t="s">
        <v>4</v>
      </c>
    </row>
    <row r="4" spans="1:2" ht="18" thickBot="1" x14ac:dyDescent="0.35">
      <c r="A4" s="3" t="s">
        <v>5</v>
      </c>
      <c r="B4" s="4" t="s">
        <v>6</v>
      </c>
    </row>
    <row r="5" spans="1:2" ht="18" thickBot="1" x14ac:dyDescent="0.35">
      <c r="A5" s="3" t="s">
        <v>34</v>
      </c>
      <c r="B5" s="4" t="s">
        <v>7</v>
      </c>
    </row>
    <row r="6" spans="1:2" ht="18" thickBot="1" x14ac:dyDescent="0.35">
      <c r="A6" s="3" t="s">
        <v>35</v>
      </c>
      <c r="B6" s="4" t="s">
        <v>8</v>
      </c>
    </row>
    <row r="7" spans="1:2" ht="18" thickBot="1" x14ac:dyDescent="0.35">
      <c r="A7" s="3" t="s">
        <v>36</v>
      </c>
      <c r="B7" s="4" t="s">
        <v>9</v>
      </c>
    </row>
    <row r="8" spans="1:2" ht="18" thickBot="1" x14ac:dyDescent="0.35">
      <c r="A8" s="3" t="s">
        <v>37</v>
      </c>
      <c r="B8" s="4" t="s">
        <v>10</v>
      </c>
    </row>
    <row r="9" spans="1:2" ht="18" thickBot="1" x14ac:dyDescent="0.35">
      <c r="A9" s="3" t="s">
        <v>38</v>
      </c>
      <c r="B9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9313-FA25-4539-AD5F-CB208683B9E9}">
  <dimension ref="A1:C21"/>
  <sheetViews>
    <sheetView zoomScale="86" workbookViewId="0">
      <selection activeCell="F27" sqref="F27"/>
    </sheetView>
  </sheetViews>
  <sheetFormatPr defaultRowHeight="14.4" x14ac:dyDescent="0.3"/>
  <cols>
    <col min="1" max="1" width="12.88671875" bestFit="1" customWidth="1"/>
    <col min="2" max="2" width="16.77734375" bestFit="1" customWidth="1"/>
    <col min="3" max="3" width="14.88671875" bestFit="1" customWidth="1"/>
  </cols>
  <sheetData>
    <row r="1" spans="1:3" x14ac:dyDescent="0.3">
      <c r="A1" s="5" t="s">
        <v>28</v>
      </c>
      <c r="B1" s="5" t="s">
        <v>29</v>
      </c>
      <c r="C1" s="5" t="s">
        <v>12</v>
      </c>
    </row>
    <row r="2" spans="1:3" x14ac:dyDescent="0.3">
      <c r="A2" s="9" t="s">
        <v>87</v>
      </c>
      <c r="B2" s="9" t="s">
        <v>76</v>
      </c>
      <c r="C2" t="s">
        <v>39</v>
      </c>
    </row>
    <row r="3" spans="1:3" x14ac:dyDescent="0.3">
      <c r="A3" t="s">
        <v>40</v>
      </c>
      <c r="B3" t="s">
        <v>18</v>
      </c>
      <c r="C3" t="s">
        <v>31</v>
      </c>
    </row>
    <row r="4" spans="1:3" x14ac:dyDescent="0.3">
      <c r="A4" t="s">
        <v>41</v>
      </c>
      <c r="B4" t="s">
        <v>81</v>
      </c>
      <c r="C4" t="s">
        <v>39</v>
      </c>
    </row>
    <row r="5" spans="1:3" x14ac:dyDescent="0.3">
      <c r="A5" t="s">
        <v>42</v>
      </c>
      <c r="B5" t="s">
        <v>82</v>
      </c>
      <c r="C5" t="s">
        <v>39</v>
      </c>
    </row>
    <row r="6" spans="1:3" x14ac:dyDescent="0.3">
      <c r="A6" t="s">
        <v>80</v>
      </c>
      <c r="B6" t="s">
        <v>72</v>
      </c>
      <c r="C6" t="s">
        <v>31</v>
      </c>
    </row>
    <row r="7" spans="1:3" x14ac:dyDescent="0.3">
      <c r="A7" t="s">
        <v>44</v>
      </c>
      <c r="B7" t="s">
        <v>20</v>
      </c>
      <c r="C7" t="s">
        <v>31</v>
      </c>
    </row>
    <row r="8" spans="1:3" x14ac:dyDescent="0.3">
      <c r="A8" t="s">
        <v>45</v>
      </c>
      <c r="B8" t="s">
        <v>21</v>
      </c>
      <c r="C8" t="s">
        <v>31</v>
      </c>
    </row>
    <row r="9" spans="1:3" x14ac:dyDescent="0.3">
      <c r="A9" t="s">
        <v>46</v>
      </c>
      <c r="B9" t="s">
        <v>22</v>
      </c>
      <c r="C9" t="s">
        <v>31</v>
      </c>
    </row>
    <row r="10" spans="1:3" x14ac:dyDescent="0.3">
      <c r="A10" t="s">
        <v>47</v>
      </c>
      <c r="B10" t="s">
        <v>23</v>
      </c>
      <c r="C10" t="s">
        <v>31</v>
      </c>
    </row>
    <row r="11" spans="1:3" x14ac:dyDescent="0.3">
      <c r="A11" t="s">
        <v>48</v>
      </c>
      <c r="B11" t="s">
        <v>24</v>
      </c>
      <c r="C11" t="s">
        <v>31</v>
      </c>
    </row>
    <row r="12" spans="1:3" x14ac:dyDescent="0.3">
      <c r="A12" t="s">
        <v>49</v>
      </c>
      <c r="B12" t="s">
        <v>25</v>
      </c>
      <c r="C12" t="s">
        <v>31</v>
      </c>
    </row>
    <row r="13" spans="1:3" x14ac:dyDescent="0.3">
      <c r="A13" t="s">
        <v>50</v>
      </c>
      <c r="B13" t="s">
        <v>26</v>
      </c>
      <c r="C13" t="s">
        <v>31</v>
      </c>
    </row>
    <row r="14" spans="1:3" x14ac:dyDescent="0.3">
      <c r="A14" t="s">
        <v>51</v>
      </c>
      <c r="B14" t="s">
        <v>27</v>
      </c>
      <c r="C14" t="s">
        <v>31</v>
      </c>
    </row>
    <row r="15" spans="1:3" x14ac:dyDescent="0.3">
      <c r="A15" t="s">
        <v>52</v>
      </c>
      <c r="B15" t="s">
        <v>17</v>
      </c>
      <c r="C15" t="s">
        <v>39</v>
      </c>
    </row>
    <row r="16" spans="1:3" x14ac:dyDescent="0.3">
      <c r="A16" t="s">
        <v>53</v>
      </c>
      <c r="B16" t="s">
        <v>32</v>
      </c>
      <c r="C16" t="s">
        <v>31</v>
      </c>
    </row>
    <row r="17" spans="1:3" x14ac:dyDescent="0.3">
      <c r="A17" t="s">
        <v>54</v>
      </c>
      <c r="B17" t="s">
        <v>16</v>
      </c>
      <c r="C17" t="s">
        <v>30</v>
      </c>
    </row>
    <row r="18" spans="1:3" x14ac:dyDescent="0.3">
      <c r="A18" t="s">
        <v>55</v>
      </c>
      <c r="B18" t="s">
        <v>15</v>
      </c>
      <c r="C18" t="s">
        <v>30</v>
      </c>
    </row>
    <row r="19" spans="1:3" x14ac:dyDescent="0.3">
      <c r="A19" t="s">
        <v>56</v>
      </c>
      <c r="B19" t="s">
        <v>14</v>
      </c>
      <c r="C19" t="s">
        <v>30</v>
      </c>
    </row>
    <row r="20" spans="1:3" x14ac:dyDescent="0.3">
      <c r="A20" t="s">
        <v>57</v>
      </c>
      <c r="B20" t="s">
        <v>13</v>
      </c>
      <c r="C20" t="s">
        <v>39</v>
      </c>
    </row>
    <row r="21" spans="1:3" x14ac:dyDescent="0.3">
      <c r="A21" t="s">
        <v>43</v>
      </c>
      <c r="B21" t="s">
        <v>19</v>
      </c>
      <c r="C21" t="s">
        <v>39</v>
      </c>
    </row>
  </sheetData>
  <phoneticPr fontId="5" type="noConversion"/>
  <conditionalFormatting sqref="B23:B1048576 B1:B21">
    <cfRule type="duplicateValues" dxfId="13" priority="3"/>
  </conditionalFormatting>
  <conditionalFormatting sqref="A1:A1048576">
    <cfRule type="duplicateValues" dxfId="1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D7FA-7CDE-4107-8A6B-F16AAF1F75CF}">
  <dimension ref="A1:O26"/>
  <sheetViews>
    <sheetView topLeftCell="A3" zoomScale="86" workbookViewId="0">
      <selection activeCell="E19" sqref="E19"/>
    </sheetView>
  </sheetViews>
  <sheetFormatPr defaultRowHeight="14.4" x14ac:dyDescent="0.3"/>
  <cols>
    <col min="1" max="1" width="11.33203125" bestFit="1" customWidth="1"/>
    <col min="2" max="2" width="21.6640625" bestFit="1" customWidth="1"/>
    <col min="3" max="3" width="14.109375" customWidth="1"/>
    <col min="4" max="4" width="5.21875" bestFit="1" customWidth="1"/>
    <col min="5" max="5" width="5.44140625" bestFit="1" customWidth="1"/>
    <col min="6" max="6" width="8.33203125" bestFit="1" customWidth="1"/>
    <col min="7" max="7" width="9.33203125" bestFit="1" customWidth="1"/>
    <col min="8" max="8" width="6.88671875" bestFit="1" customWidth="1"/>
    <col min="9" max="9" width="12.33203125" bestFit="1" customWidth="1"/>
    <col min="10" max="10" width="7.44140625" bestFit="1" customWidth="1"/>
    <col min="11" max="11" width="5.44140625" bestFit="1" customWidth="1"/>
    <col min="12" max="12" width="6.109375" bestFit="1" customWidth="1"/>
    <col min="13" max="13" width="15.88671875" bestFit="1" customWidth="1"/>
    <col min="14" max="14" width="12.109375" bestFit="1" customWidth="1"/>
  </cols>
  <sheetData>
    <row r="1" spans="1:15" x14ac:dyDescent="0.3">
      <c r="B1" t="s">
        <v>28</v>
      </c>
      <c r="C1" t="str">
        <f>+INDEX('Dizionario campi'!$A:$A,MATCH(C2,'Dizionario campi'!$B:$B,0),1)</f>
        <v>D0</v>
      </c>
      <c r="D1" t="str">
        <f>+INDEX('Dizionario campi'!$A:$A,MATCH(D2,'Dizionario campi'!$B:$B,0),1)</f>
        <v>D1</v>
      </c>
      <c r="E1" t="str">
        <f>+INDEX('Dizionario campi'!$A:$A,MATCH(E2,'Dizionario campi'!$B:$B,0),1)</f>
        <v>D2</v>
      </c>
      <c r="F1" t="str">
        <f>+INDEX('Dizionario campi'!$A:$A,MATCH(F2,'Dizionario campi'!$B:$B,0),1)</f>
        <v>D3</v>
      </c>
      <c r="G1" t="str">
        <f>+INDEX('Dizionario campi'!$A:$A,MATCH(G2,'Dizionario campi'!$B:$B,0),1)</f>
        <v>D21</v>
      </c>
      <c r="H1" t="str">
        <f>+INDEX('Dizionario campi'!$A:$A,MATCH(H2,'Dizionario campi'!$B:$B,0),1)</f>
        <v>D5</v>
      </c>
      <c r="I1" t="str">
        <f>+INDEX('Dizionario campi'!$A:$A,MATCH(I2,'Dizionario campi'!$B:$B,0),1)</f>
        <v>D6</v>
      </c>
      <c r="J1" t="str">
        <f>+INDEX('Dizionario campi'!$A:$A,MATCH(J2,'Dizionario campi'!$B:$B,0),1)</f>
        <v>D7</v>
      </c>
      <c r="K1" t="str">
        <f>+INDEX('Dizionario campi'!$A:$A,MATCH(K2,'Dizionario campi'!$B:$B,0),1)</f>
        <v>D8</v>
      </c>
      <c r="L1" t="str">
        <f>+INDEX('Dizionario campi'!$A:$A,MATCH(L2,'Dizionario campi'!$B:$B,0),1)</f>
        <v>D9</v>
      </c>
      <c r="M1" t="str">
        <f>+INDEX('Dizionario campi'!$A:$A,MATCH(M2,'Dizionario campi'!$B:$B,0),1)</f>
        <v>D10</v>
      </c>
      <c r="N1" t="str">
        <f>+INDEX('Dizionario campi'!$A:$A,MATCH(N2,'Dizionario campi'!$B:$B,0),1)</f>
        <v>D11</v>
      </c>
      <c r="O1" t="str">
        <f>+INDEX('Dizionario campi'!$A:$A,MATCH(O2,'Dizionario campi'!$B:$B,0),1)</f>
        <v>D12</v>
      </c>
    </row>
    <row r="2" spans="1:15" x14ac:dyDescent="0.3">
      <c r="A2" t="s">
        <v>61</v>
      </c>
      <c r="B2" t="s">
        <v>15</v>
      </c>
      <c r="C2" s="10" t="s">
        <v>76</v>
      </c>
      <c r="D2" t="s">
        <v>18</v>
      </c>
      <c r="E2" t="s">
        <v>81</v>
      </c>
      <c r="F2" t="s">
        <v>82</v>
      </c>
      <c r="G2" t="s">
        <v>72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63</v>
      </c>
      <c r="B3" s="8" t="s">
        <v>58</v>
      </c>
      <c r="C3" t="s">
        <v>62</v>
      </c>
      <c r="D3" t="s">
        <v>62</v>
      </c>
      <c r="E3" t="s">
        <v>62</v>
      </c>
      <c r="F3" t="s">
        <v>62</v>
      </c>
      <c r="G3" t="s">
        <v>62</v>
      </c>
      <c r="H3" t="s">
        <v>62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</row>
    <row r="4" spans="1:15" x14ac:dyDescent="0.3">
      <c r="A4" t="s">
        <v>64</v>
      </c>
      <c r="B4" s="8" t="s">
        <v>59</v>
      </c>
      <c r="C4" t="s">
        <v>62</v>
      </c>
      <c r="D4" t="s">
        <v>62</v>
      </c>
      <c r="E4" t="s">
        <v>62</v>
      </c>
      <c r="F4" t="s">
        <v>62</v>
      </c>
      <c r="G4" t="s">
        <v>62</v>
      </c>
      <c r="H4" t="s">
        <v>62</v>
      </c>
      <c r="I4" t="s">
        <v>62</v>
      </c>
      <c r="J4" t="s">
        <v>62</v>
      </c>
      <c r="K4" t="s">
        <v>62</v>
      </c>
      <c r="L4" t="s">
        <v>62</v>
      </c>
      <c r="M4" t="s">
        <v>62</v>
      </c>
      <c r="N4" t="s">
        <v>62</v>
      </c>
      <c r="O4" t="s">
        <v>62</v>
      </c>
    </row>
    <row r="5" spans="1:15" x14ac:dyDescent="0.3">
      <c r="A5" t="s">
        <v>65</v>
      </c>
      <c r="B5" s="8" t="s">
        <v>60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</row>
    <row r="6" spans="1:15" x14ac:dyDescent="0.3">
      <c r="A6" t="s">
        <v>66</v>
      </c>
      <c r="B6" s="8" t="s">
        <v>69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</row>
    <row r="7" spans="1:15" x14ac:dyDescent="0.3">
      <c r="A7" t="s">
        <v>67</v>
      </c>
      <c r="B7" s="8" t="s">
        <v>70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 t="s">
        <v>62</v>
      </c>
      <c r="O7" t="s">
        <v>62</v>
      </c>
    </row>
    <row r="8" spans="1:15" x14ac:dyDescent="0.3">
      <c r="A8" t="s">
        <v>68</v>
      </c>
      <c r="B8" s="8" t="s">
        <v>71</v>
      </c>
      <c r="C8" t="s">
        <v>62</v>
      </c>
      <c r="D8" t="s">
        <v>62</v>
      </c>
      <c r="E8" t="s">
        <v>62</v>
      </c>
      <c r="F8" t="s">
        <v>62</v>
      </c>
      <c r="G8" s="7" t="s">
        <v>62</v>
      </c>
      <c r="H8" s="7" t="s">
        <v>62</v>
      </c>
      <c r="I8" s="7" t="s">
        <v>62</v>
      </c>
      <c r="J8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t="s">
        <v>62</v>
      </c>
    </row>
    <row r="12" spans="1:15" x14ac:dyDescent="0.3">
      <c r="A12" s="8" t="s">
        <v>61</v>
      </c>
      <c r="B12" s="8" t="s">
        <v>79</v>
      </c>
      <c r="C12" s="8" t="s">
        <v>88</v>
      </c>
      <c r="D12" s="8"/>
    </row>
    <row r="13" spans="1:15" x14ac:dyDescent="0.3">
      <c r="A13" t="str">
        <f>+INDEX('Dizionario campi'!$A:$A,MATCH(B13,'Dizionario campi'!$B:$B,0),1)</f>
        <v>D0</v>
      </c>
      <c r="B13" s="10" t="s">
        <v>76</v>
      </c>
      <c r="C13" t="s">
        <v>86</v>
      </c>
    </row>
    <row r="14" spans="1:15" x14ac:dyDescent="0.3">
      <c r="A14" t="str">
        <f>+INDEX('Dizionario campi'!$A:$A,MATCH(B14,'Dizionario campi'!$B:$B,0),1)</f>
        <v>D19</v>
      </c>
      <c r="B14" t="s">
        <v>13</v>
      </c>
      <c r="C14" t="s">
        <v>83</v>
      </c>
    </row>
    <row r="15" spans="1:15" x14ac:dyDescent="0.3">
      <c r="A15" t="str">
        <f>+INDEX('Dizionario campi'!$A:$A,MATCH(B15,'Dizionario campi'!$B:$B,0),1)</f>
        <v>D2</v>
      </c>
      <c r="B15" t="s">
        <v>81</v>
      </c>
      <c r="C15" t="s">
        <v>84</v>
      </c>
    </row>
    <row r="16" spans="1:15" x14ac:dyDescent="0.3">
      <c r="A16" t="str">
        <f>+INDEX('Dizionario campi'!$A:$A,MATCH(B16,'Dizionario campi'!$B:$B,0),1)</f>
        <v>D3</v>
      </c>
      <c r="B16" t="s">
        <v>82</v>
      </c>
      <c r="C16" t="s">
        <v>85</v>
      </c>
    </row>
    <row r="17" spans="1:3" x14ac:dyDescent="0.3">
      <c r="A17" t="str">
        <f>+INDEX('Dizionario campi'!$A:$A,MATCH(B17,'Dizionario campi'!$B:$B,0),1)</f>
        <v>D21</v>
      </c>
      <c r="B17" t="s">
        <v>72</v>
      </c>
      <c r="C17" t="s">
        <v>73</v>
      </c>
    </row>
    <row r="18" spans="1:3" x14ac:dyDescent="0.3">
      <c r="A18" t="str">
        <f>+INDEX('Dizionario campi'!$A:$A,MATCH(B18,'Dizionario campi'!$B:$B,0),1)</f>
        <v>D5</v>
      </c>
      <c r="B18" t="s">
        <v>20</v>
      </c>
      <c r="C18" t="s">
        <v>75</v>
      </c>
    </row>
    <row r="19" spans="1:3" x14ac:dyDescent="0.3">
      <c r="A19" t="str">
        <f>+INDEX('Dizionario campi'!$A:$A,MATCH(B19,'Dizionario campi'!$B:$B,0),1)</f>
        <v>D6</v>
      </c>
      <c r="B19" t="s">
        <v>21</v>
      </c>
      <c r="C19" t="s">
        <v>74</v>
      </c>
    </row>
    <row r="20" spans="1:3" x14ac:dyDescent="0.3">
      <c r="A20" t="str">
        <f>+INDEX('Dizionario campi'!$A:$A,MATCH(B20,'Dizionario campi'!$B:$B,0),1)</f>
        <v>D7</v>
      </c>
      <c r="B20" t="s">
        <v>22</v>
      </c>
      <c r="C20" t="s">
        <v>77</v>
      </c>
    </row>
    <row r="21" spans="1:3" x14ac:dyDescent="0.3">
      <c r="A21" t="s">
        <v>63</v>
      </c>
      <c r="B21" t="s">
        <v>58</v>
      </c>
      <c r="C21" t="s">
        <v>78</v>
      </c>
    </row>
    <row r="22" spans="1:3" x14ac:dyDescent="0.3">
      <c r="A22" t="s">
        <v>64</v>
      </c>
      <c r="B22" t="s">
        <v>59</v>
      </c>
      <c r="C22" t="s">
        <v>78</v>
      </c>
    </row>
    <row r="23" spans="1:3" x14ac:dyDescent="0.3">
      <c r="A23" t="s">
        <v>65</v>
      </c>
      <c r="B23" t="s">
        <v>60</v>
      </c>
      <c r="C23" t="s">
        <v>78</v>
      </c>
    </row>
    <row r="24" spans="1:3" x14ac:dyDescent="0.3">
      <c r="A24" t="s">
        <v>66</v>
      </c>
      <c r="B24" t="s">
        <v>69</v>
      </c>
      <c r="C24" t="s">
        <v>78</v>
      </c>
    </row>
    <row r="25" spans="1:3" x14ac:dyDescent="0.3">
      <c r="A25" t="s">
        <v>67</v>
      </c>
      <c r="B25" t="s">
        <v>70</v>
      </c>
      <c r="C25" t="s">
        <v>78</v>
      </c>
    </row>
    <row r="26" spans="1:3" x14ac:dyDescent="0.3">
      <c r="A26" t="s">
        <v>68</v>
      </c>
      <c r="B26" t="s">
        <v>71</v>
      </c>
      <c r="C2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202D-157D-4E51-A17D-41AFE8516BC4}">
  <dimension ref="A1:D10"/>
  <sheetViews>
    <sheetView tabSelected="1" workbookViewId="0">
      <selection activeCell="B4" sqref="B4"/>
    </sheetView>
  </sheetViews>
  <sheetFormatPr defaultRowHeight="14.4" x14ac:dyDescent="0.3"/>
  <cols>
    <col min="1" max="1" width="12.88671875" bestFit="1" customWidth="1"/>
    <col min="2" max="2" width="17.21875" bestFit="1" customWidth="1"/>
  </cols>
  <sheetData>
    <row r="1" spans="1:4" x14ac:dyDescent="0.3">
      <c r="A1" s="5" t="s">
        <v>28</v>
      </c>
      <c r="B1" s="5" t="s">
        <v>29</v>
      </c>
      <c r="C1" s="5" t="s">
        <v>12</v>
      </c>
      <c r="D1" s="11" t="s">
        <v>89</v>
      </c>
    </row>
    <row r="2" spans="1:4" x14ac:dyDescent="0.3">
      <c r="A2" t="str">
        <f>+INDEX('Dizionario campi'!A:A,MATCH(B2,'Dizionario campi'!B:B,0),1)</f>
        <v>D0</v>
      </c>
      <c r="B2" s="6" t="s">
        <v>76</v>
      </c>
      <c r="C2" t="s">
        <v>31</v>
      </c>
      <c r="D2" t="s">
        <v>86</v>
      </c>
    </row>
    <row r="3" spans="1:4" x14ac:dyDescent="0.3">
      <c r="A3" t="str">
        <f>+INDEX('Dizionario campi'!A:A,MATCH(B3,'Dizionario campi'!B:B,0),1)</f>
        <v>D19</v>
      </c>
      <c r="B3" t="s">
        <v>13</v>
      </c>
      <c r="C3" t="s">
        <v>31</v>
      </c>
      <c r="D3" t="s">
        <v>83</v>
      </c>
    </row>
    <row r="4" spans="1:4" x14ac:dyDescent="0.3">
      <c r="A4" t="str">
        <f>+INDEX('Dizionario campi'!A:A,MATCH(B4,'Dizionario campi'!B:B,0),1)</f>
        <v>D2</v>
      </c>
      <c r="B4" t="s">
        <v>81</v>
      </c>
      <c r="C4" t="s">
        <v>31</v>
      </c>
      <c r="D4" t="s">
        <v>84</v>
      </c>
    </row>
    <row r="5" spans="1:4" x14ac:dyDescent="0.3">
      <c r="A5" t="str">
        <f>+INDEX('Dizionario campi'!A:A,MATCH(B5,'Dizionario campi'!B:B,0),1)</f>
        <v>D3</v>
      </c>
      <c r="B5" t="s">
        <v>82</v>
      </c>
      <c r="C5" t="s">
        <v>31</v>
      </c>
      <c r="D5" t="s">
        <v>85</v>
      </c>
    </row>
    <row r="6" spans="1:4" x14ac:dyDescent="0.3">
      <c r="A6" t="str">
        <f>+INDEX('Dizionario campi'!A:A,MATCH(B6,'Dizionario campi'!B:B,0),1)</f>
        <v>D7</v>
      </c>
      <c r="B6" t="s">
        <v>22</v>
      </c>
      <c r="C6" t="s">
        <v>31</v>
      </c>
      <c r="D6" t="s">
        <v>77</v>
      </c>
    </row>
    <row r="7" spans="1:4" x14ac:dyDescent="0.3">
      <c r="A7" t="str">
        <f>+INDEX('Dizionario campi'!A:A,MATCH(B7,'Dizionario campi'!B:B,0),1)</f>
        <v>D6</v>
      </c>
      <c r="B7" t="s">
        <v>21</v>
      </c>
      <c r="C7" t="s">
        <v>31</v>
      </c>
      <c r="D7" t="s">
        <v>74</v>
      </c>
    </row>
    <row r="8" spans="1:4" x14ac:dyDescent="0.3">
      <c r="A8" t="str">
        <f>+INDEX('Dizionario campi'!A:A,MATCH(B8,'Dizionario campi'!B:B,0),1)</f>
        <v>D21</v>
      </c>
      <c r="B8" t="s">
        <v>72</v>
      </c>
      <c r="C8" t="s">
        <v>31</v>
      </c>
      <c r="D8" t="s">
        <v>73</v>
      </c>
    </row>
    <row r="9" spans="1:4" x14ac:dyDescent="0.3">
      <c r="A9" t="str">
        <f>+INDEX('Dizionario campi'!A:A,MATCH(B9,'Dizionario campi'!B:B,0),1)</f>
        <v>D5</v>
      </c>
      <c r="B9" t="s">
        <v>20</v>
      </c>
      <c r="C9" t="s">
        <v>31</v>
      </c>
      <c r="D9" t="s">
        <v>75</v>
      </c>
    </row>
    <row r="10" spans="1:4" x14ac:dyDescent="0.3">
      <c r="A10" t="s">
        <v>5</v>
      </c>
      <c r="B10" t="s">
        <v>90</v>
      </c>
      <c r="C10" t="s">
        <v>31</v>
      </c>
      <c r="D10" t="s">
        <v>90</v>
      </c>
    </row>
  </sheetData>
  <conditionalFormatting sqref="B4">
    <cfRule type="duplicateValues" dxfId="11" priority="3"/>
  </conditionalFormatting>
  <conditionalFormatting sqref="B5">
    <cfRule type="duplicateValues" dxfId="10" priority="2"/>
  </conditionalFormatting>
  <conditionalFormatting sqref="B2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44C9-2F9D-4756-9777-D4011DCA7C4F}">
  <dimension ref="A1:D9"/>
  <sheetViews>
    <sheetView workbookViewId="0">
      <selection activeCell="D6" sqref="D6"/>
    </sheetView>
  </sheetViews>
  <sheetFormatPr defaultRowHeight="14.4" x14ac:dyDescent="0.3"/>
  <cols>
    <col min="1" max="1" width="15.44140625" bestFit="1" customWidth="1"/>
    <col min="2" max="2" width="16.5546875" bestFit="1" customWidth="1"/>
    <col min="3" max="3" width="15" bestFit="1" customWidth="1"/>
    <col min="5" max="5" width="14.44140625" bestFit="1" customWidth="1"/>
    <col min="6" max="6" width="17.6640625" bestFit="1" customWidth="1"/>
  </cols>
  <sheetData>
    <row r="1" spans="1:4" x14ac:dyDescent="0.3">
      <c r="A1" s="5" t="s">
        <v>28</v>
      </c>
      <c r="B1" s="5" t="s">
        <v>29</v>
      </c>
      <c r="C1" s="5" t="s">
        <v>12</v>
      </c>
      <c r="D1" s="11" t="s">
        <v>89</v>
      </c>
    </row>
    <row r="2" spans="1:4" x14ac:dyDescent="0.3">
      <c r="A2" t="str">
        <f>+INDEX('Dizionario campi'!A:A,MATCH(B2,'Dizionario campi'!B:B,0),1)</f>
        <v>D0</v>
      </c>
      <c r="B2" s="6" t="s">
        <v>76</v>
      </c>
      <c r="C2" t="s">
        <v>30</v>
      </c>
      <c r="D2" t="s">
        <v>86</v>
      </c>
    </row>
    <row r="3" spans="1:4" x14ac:dyDescent="0.3">
      <c r="A3" t="str">
        <f>+INDEX('Dizionario campi'!A:A,MATCH(B3,'Dizionario campi'!B:B,0),1)</f>
        <v>D15</v>
      </c>
      <c r="B3" t="s">
        <v>16</v>
      </c>
      <c r="C3" t="s">
        <v>30</v>
      </c>
      <c r="D3" t="s">
        <v>93</v>
      </c>
    </row>
    <row r="4" spans="1:4" x14ac:dyDescent="0.3">
      <c r="A4" t="str">
        <f>+INDEX('Dizionario campi'!A:A,MATCH(B4,'Dizionario campi'!B:B,0),1)</f>
        <v>D16</v>
      </c>
      <c r="B4" t="s">
        <v>15</v>
      </c>
      <c r="C4" t="s">
        <v>30</v>
      </c>
      <c r="D4" t="s">
        <v>94</v>
      </c>
    </row>
    <row r="5" spans="1:4" x14ac:dyDescent="0.3">
      <c r="A5" t="str">
        <f>+INDEX('Dizionario campi'!A:A,MATCH(B5,'Dizionario campi'!B:B,0),1)</f>
        <v>D4</v>
      </c>
      <c r="B5" t="s">
        <v>19</v>
      </c>
      <c r="C5" t="s">
        <v>30</v>
      </c>
      <c r="D5" t="s">
        <v>91</v>
      </c>
    </row>
    <row r="6" spans="1:4" x14ac:dyDescent="0.3">
      <c r="A6" t="str">
        <f>+INDEX('Dizionario campi'!A:A,MATCH(B6,'Dizionario campi'!B:B,0),1)</f>
        <v>D13</v>
      </c>
      <c r="B6" t="s">
        <v>17</v>
      </c>
      <c r="C6" t="s">
        <v>30</v>
      </c>
      <c r="D6" t="s">
        <v>94</v>
      </c>
    </row>
    <row r="7" spans="1:4" x14ac:dyDescent="0.3">
      <c r="A7" t="str">
        <f>+INDEX('Dizionario campi'!A:A,MATCH(B7,'Dizionario campi'!B:B,0),1)</f>
        <v>D19</v>
      </c>
      <c r="B7" t="s">
        <v>13</v>
      </c>
      <c r="C7" t="s">
        <v>30</v>
      </c>
      <c r="D7" t="s">
        <v>83</v>
      </c>
    </row>
    <row r="8" spans="1:4" x14ac:dyDescent="0.3">
      <c r="A8" t="str">
        <f>+INDEX('Dizionario campi'!A:A,MATCH(B8,'Dizionario campi'!B:B,0),1)</f>
        <v>D2</v>
      </c>
      <c r="B8" t="s">
        <v>81</v>
      </c>
      <c r="C8" t="s">
        <v>30</v>
      </c>
      <c r="D8" t="s">
        <v>84</v>
      </c>
    </row>
    <row r="9" spans="1:4" x14ac:dyDescent="0.3">
      <c r="A9" t="str">
        <f>+INDEX('Dizionario campi'!A:A,MATCH(B9,'Dizionario campi'!B:B,0),1)</f>
        <v>D3</v>
      </c>
      <c r="B9" t="s">
        <v>82</v>
      </c>
      <c r="C9" t="s">
        <v>30</v>
      </c>
      <c r="D9" t="s">
        <v>85</v>
      </c>
    </row>
  </sheetData>
  <conditionalFormatting sqref="B2">
    <cfRule type="duplicateValues" dxfId="8" priority="3"/>
  </conditionalFormatting>
  <conditionalFormatting sqref="B8">
    <cfRule type="duplicateValues" dxfId="7" priority="2"/>
  </conditionalFormatting>
  <conditionalFormatting sqref="B9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C645-1AFF-48AF-912B-CE2D8FA2A0BE}">
  <dimension ref="A1:D9"/>
  <sheetViews>
    <sheetView workbookViewId="0">
      <selection activeCell="D6" sqref="D6"/>
    </sheetView>
  </sheetViews>
  <sheetFormatPr defaultRowHeight="14.4" x14ac:dyDescent="0.3"/>
  <cols>
    <col min="1" max="1" width="15.44140625" bestFit="1" customWidth="1"/>
    <col min="2" max="2" width="16.5546875" bestFit="1" customWidth="1"/>
    <col min="3" max="3" width="15" bestFit="1" customWidth="1"/>
  </cols>
  <sheetData>
    <row r="1" spans="1:4" x14ac:dyDescent="0.3">
      <c r="A1" s="5" t="s">
        <v>28</v>
      </c>
      <c r="B1" s="5" t="s">
        <v>29</v>
      </c>
      <c r="C1" s="5" t="s">
        <v>12</v>
      </c>
      <c r="D1" s="11" t="s">
        <v>89</v>
      </c>
    </row>
    <row r="2" spans="1:4" x14ac:dyDescent="0.3">
      <c r="A2" t="str">
        <f>+INDEX('Dizionario campi'!A:A,MATCH(B2,'Dizionario campi'!B:B,0),1)</f>
        <v>D0</v>
      </c>
      <c r="B2" s="9" t="s">
        <v>76</v>
      </c>
      <c r="C2" s="9" t="s">
        <v>30</v>
      </c>
      <c r="D2" t="s">
        <v>86</v>
      </c>
    </row>
    <row r="3" spans="1:4" x14ac:dyDescent="0.3">
      <c r="A3" t="str">
        <f>+INDEX('Dizionario campi'!A:A,MATCH(B3,'Dizionario campi'!B:B,0),1)</f>
        <v>D15</v>
      </c>
      <c r="B3" t="s">
        <v>16</v>
      </c>
      <c r="C3" t="s">
        <v>30</v>
      </c>
      <c r="D3" t="s">
        <v>93</v>
      </c>
    </row>
    <row r="4" spans="1:4" x14ac:dyDescent="0.3">
      <c r="A4" t="str">
        <f>+INDEX('Dizionario campi'!A:A,MATCH(B4,'Dizionario campi'!B:B,0),1)</f>
        <v>D16</v>
      </c>
      <c r="B4" t="s">
        <v>15</v>
      </c>
      <c r="C4" t="s">
        <v>30</v>
      </c>
      <c r="D4" t="s">
        <v>94</v>
      </c>
    </row>
    <row r="5" spans="1:4" x14ac:dyDescent="0.3">
      <c r="A5" t="str">
        <f>+INDEX('Dizionario campi'!A:A,MATCH(B5,'Dizionario campi'!B:B,0),1)</f>
        <v>D4</v>
      </c>
      <c r="B5" t="s">
        <v>19</v>
      </c>
      <c r="C5" t="s">
        <v>30</v>
      </c>
      <c r="D5" t="s">
        <v>91</v>
      </c>
    </row>
    <row r="6" spans="1:4" x14ac:dyDescent="0.3">
      <c r="A6" t="str">
        <f>+INDEX('Dizionario campi'!A:A,MATCH(B6,'Dizionario campi'!B:B,0),1)</f>
        <v>D13</v>
      </c>
      <c r="B6" t="s">
        <v>17</v>
      </c>
      <c r="C6" t="s">
        <v>30</v>
      </c>
      <c r="D6" t="s">
        <v>94</v>
      </c>
    </row>
    <row r="7" spans="1:4" x14ac:dyDescent="0.3">
      <c r="A7" t="str">
        <f>+INDEX('Dizionario campi'!A:A,MATCH(B7,'Dizionario campi'!B:B,0),1)</f>
        <v>D19</v>
      </c>
      <c r="B7" t="s">
        <v>13</v>
      </c>
      <c r="C7" t="s">
        <v>30</v>
      </c>
      <c r="D7" t="s">
        <v>83</v>
      </c>
    </row>
    <row r="8" spans="1:4" x14ac:dyDescent="0.3">
      <c r="A8" t="str">
        <f>+INDEX('Dizionario campi'!A:A,MATCH(B8,'Dizionario campi'!B:B,0),1)</f>
        <v>D2</v>
      </c>
      <c r="B8" t="s">
        <v>81</v>
      </c>
      <c r="C8" t="s">
        <v>30</v>
      </c>
      <c r="D8" t="s">
        <v>84</v>
      </c>
    </row>
    <row r="9" spans="1:4" x14ac:dyDescent="0.3">
      <c r="A9" t="str">
        <f>+INDEX('Dizionario campi'!A:A,MATCH(B9,'Dizionario campi'!B:B,0),1)</f>
        <v>D3</v>
      </c>
      <c r="B9" t="s">
        <v>82</v>
      </c>
      <c r="C9" t="s">
        <v>30</v>
      </c>
      <c r="D9" t="s">
        <v>85</v>
      </c>
    </row>
  </sheetData>
  <conditionalFormatting sqref="B8">
    <cfRule type="duplicateValues" dxfId="5" priority="2"/>
  </conditionalFormatting>
  <conditionalFormatting sqref="B9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2665-ECD8-4FE1-B646-8BBCDFCCE0AE}">
  <dimension ref="A1:D7"/>
  <sheetViews>
    <sheetView workbookViewId="0">
      <selection activeCell="G16" sqref="G16"/>
    </sheetView>
  </sheetViews>
  <sheetFormatPr defaultRowHeight="14.4" x14ac:dyDescent="0.3"/>
  <cols>
    <col min="1" max="1" width="14.6640625" bestFit="1" customWidth="1"/>
    <col min="2" max="2" width="14.109375" bestFit="1" customWidth="1"/>
  </cols>
  <sheetData>
    <row r="1" spans="1:4" x14ac:dyDescent="0.3">
      <c r="A1" s="5" t="s">
        <v>28</v>
      </c>
      <c r="B1" s="5" t="s">
        <v>29</v>
      </c>
      <c r="C1" s="5" t="s">
        <v>12</v>
      </c>
      <c r="D1" s="11" t="s">
        <v>89</v>
      </c>
    </row>
    <row r="2" spans="1:4" x14ac:dyDescent="0.3">
      <c r="A2" t="str">
        <f>+INDEX('Dizionario campi'!A:A,MATCH(B2,'Dizionario campi'!B:B,0),1)</f>
        <v>D0</v>
      </c>
      <c r="B2" s="9" t="s">
        <v>76</v>
      </c>
      <c r="C2" s="9" t="s">
        <v>30</v>
      </c>
      <c r="D2" t="s">
        <v>86</v>
      </c>
    </row>
    <row r="3" spans="1:4" x14ac:dyDescent="0.3">
      <c r="A3" t="str">
        <f>+INDEX('Dizionario campi'!A:A,MATCH(B3,'Dizionario campi'!B:B,0),1)</f>
        <v>D2</v>
      </c>
      <c r="B3" t="s">
        <v>81</v>
      </c>
      <c r="C3" t="s">
        <v>30</v>
      </c>
      <c r="D3" t="s">
        <v>84</v>
      </c>
    </row>
    <row r="4" spans="1:4" x14ac:dyDescent="0.3">
      <c r="A4" t="str">
        <f>+INDEX('Dizionario campi'!A:A,MATCH(B4,'Dizionario campi'!B:B,0),1)</f>
        <v>D3</v>
      </c>
      <c r="B4" t="s">
        <v>82</v>
      </c>
      <c r="C4" t="s">
        <v>30</v>
      </c>
      <c r="D4" t="s">
        <v>85</v>
      </c>
    </row>
    <row r="5" spans="1:4" x14ac:dyDescent="0.3">
      <c r="A5" t="str">
        <f>+INDEX('Dizionario campi'!A:A,MATCH(B5,'Dizionario campi'!B:B,0),1)</f>
        <v>D15</v>
      </c>
      <c r="B5" s="6" t="s">
        <v>16</v>
      </c>
      <c r="C5" t="s">
        <v>30</v>
      </c>
      <c r="D5" t="s">
        <v>92</v>
      </c>
    </row>
    <row r="6" spans="1:4" x14ac:dyDescent="0.3">
      <c r="A6" t="str">
        <f>+INDEX('Dizionario campi'!A:A,MATCH(B6,'Dizionario campi'!B:B,0),1)</f>
        <v>D16</v>
      </c>
      <c r="B6" s="6" t="s">
        <v>15</v>
      </c>
      <c r="C6" t="s">
        <v>30</v>
      </c>
      <c r="D6" t="s">
        <v>92</v>
      </c>
    </row>
    <row r="7" spans="1:4" x14ac:dyDescent="0.3">
      <c r="A7" t="str">
        <f>+INDEX('Dizionario campi'!A:A,MATCH(B7,'Dizionario campi'!B:B,0),1)</f>
        <v>D13</v>
      </c>
      <c r="B7" s="6" t="s">
        <v>17</v>
      </c>
      <c r="C7" t="s">
        <v>30</v>
      </c>
      <c r="D7" t="s">
        <v>92</v>
      </c>
    </row>
  </sheetData>
  <conditionalFormatting sqref="B3">
    <cfRule type="duplicateValues" dxfId="3" priority="2"/>
  </conditionalFormatting>
  <conditionalFormatting sqref="B4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6C97-4718-422F-9D6F-3D101FF5C38F}">
  <dimension ref="A1:D7"/>
  <sheetViews>
    <sheetView workbookViewId="0">
      <selection activeCell="H27" sqref="H27"/>
    </sheetView>
  </sheetViews>
  <sheetFormatPr defaultColWidth="9.77734375" defaultRowHeight="14.4" x14ac:dyDescent="0.3"/>
  <cols>
    <col min="1" max="1" width="12.88671875" bestFit="1" customWidth="1"/>
    <col min="2" max="2" width="14.109375" bestFit="1" customWidth="1"/>
  </cols>
  <sheetData>
    <row r="1" spans="1:4" x14ac:dyDescent="0.3">
      <c r="A1" s="5" t="s">
        <v>28</v>
      </c>
      <c r="B1" s="5" t="s">
        <v>29</v>
      </c>
      <c r="C1" s="5" t="s">
        <v>12</v>
      </c>
      <c r="D1" s="11" t="s">
        <v>89</v>
      </c>
    </row>
    <row r="2" spans="1:4" x14ac:dyDescent="0.3">
      <c r="A2" t="str">
        <f>+INDEX('Dizionario campi'!A:A,MATCH(B2,'Dizionario campi'!B:B,0),1)</f>
        <v>D0</v>
      </c>
      <c r="B2" s="9" t="s">
        <v>76</v>
      </c>
      <c r="C2" s="9" t="s">
        <v>30</v>
      </c>
      <c r="D2" t="s">
        <v>86</v>
      </c>
    </row>
    <row r="3" spans="1:4" x14ac:dyDescent="0.3">
      <c r="A3" t="str">
        <f>+INDEX('Dizionario campi'!A:A,MATCH(B3,'Dizionario campi'!B:B,0),1)</f>
        <v>D2</v>
      </c>
      <c r="B3" t="s">
        <v>81</v>
      </c>
      <c r="C3" t="s">
        <v>30</v>
      </c>
      <c r="D3" t="s">
        <v>84</v>
      </c>
    </row>
    <row r="4" spans="1:4" x14ac:dyDescent="0.3">
      <c r="A4" t="str">
        <f>+INDEX('Dizionario campi'!A:A,MATCH(B4,'Dizionario campi'!B:B,0),1)</f>
        <v>D3</v>
      </c>
      <c r="B4" t="s">
        <v>82</v>
      </c>
      <c r="C4" t="s">
        <v>30</v>
      </c>
      <c r="D4" t="s">
        <v>85</v>
      </c>
    </row>
    <row r="5" spans="1:4" x14ac:dyDescent="0.3">
      <c r="A5" t="str">
        <f>+INDEX('Dizionario campi'!A:A,MATCH(B5,'Dizionario campi'!B:B,0),1)</f>
        <v>D15</v>
      </c>
      <c r="B5" s="6" t="s">
        <v>16</v>
      </c>
      <c r="C5" t="s">
        <v>30</v>
      </c>
      <c r="D5" t="s">
        <v>92</v>
      </c>
    </row>
    <row r="6" spans="1:4" x14ac:dyDescent="0.3">
      <c r="A6" t="str">
        <f>+INDEX('Dizionario campi'!A:A,MATCH(B6,'Dizionario campi'!B:B,0),1)</f>
        <v>D16</v>
      </c>
      <c r="B6" s="6" t="s">
        <v>15</v>
      </c>
      <c r="C6" t="s">
        <v>30</v>
      </c>
      <c r="D6" t="s">
        <v>92</v>
      </c>
    </row>
    <row r="7" spans="1:4" x14ac:dyDescent="0.3">
      <c r="A7" t="str">
        <f>+INDEX('Dizionario campi'!A:A,MATCH(B7,'Dizionario campi'!B:B,0),1)</f>
        <v>D13</v>
      </c>
      <c r="B7" s="6" t="s">
        <v>17</v>
      </c>
      <c r="C7" t="s">
        <v>30</v>
      </c>
      <c r="D7" t="s">
        <v>92</v>
      </c>
    </row>
  </sheetData>
  <conditionalFormatting sqref="B3">
    <cfRule type="duplicateValues" dxfId="1" priority="2"/>
  </conditionalFormatting>
  <conditionalFormatting sqref="B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Props1.xml><?xml version="1.0" encoding="utf-8"?>
<ds:datastoreItem xmlns:ds="http://schemas.openxmlformats.org/officeDocument/2006/customXml" ds:itemID="{A2A0CE9B-821F-4D52-80D1-970EB7861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E45C3C-105F-4410-905F-2D3761CD28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ADEDC-5B38-496D-86E2-E2BD780DE0C7}">
  <ds:schemaRefs>
    <ds:schemaRef ds:uri="http://schemas.microsoft.com/office/2006/metadata/properties"/>
    <ds:schemaRef ds:uri="http://schemas.microsoft.com/office/infopath/2007/PartnerControls"/>
    <ds:schemaRef ds:uri="f222903d-8679-43da-9a9c-620ddc805fc2"/>
    <ds:schemaRef ds:uri="7caceaca-20ef-42d2-b1d4-1dae242b6e79"/>
    <ds:schemaRef ds:uri="c99eb337-000b-4878-a4ff-8330c82a19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Convenzioni codifica</vt:lpstr>
      <vt:lpstr>Dizionario campi</vt:lpstr>
      <vt:lpstr>Campus</vt:lpstr>
      <vt:lpstr>C20-Incentivi</vt:lpstr>
      <vt:lpstr>INF1.1-Analitica mese</vt:lpstr>
      <vt:lpstr>INF1.2-Analitica YTD</vt:lpstr>
      <vt:lpstr>INF2.1-Input map bil mese</vt:lpstr>
      <vt:lpstr>INF2.1-Input map bil YTD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Benizzi</dc:creator>
  <cp:lastModifiedBy>Serena Benizzi</cp:lastModifiedBy>
  <dcterms:created xsi:type="dcterms:W3CDTF">2015-06-05T18:17:20Z</dcterms:created>
  <dcterms:modified xsi:type="dcterms:W3CDTF">2026-06-17T08:43:07Z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0x01010021F8C1811CFC2849BB075804AB038327</vt:lpwstr>
  </property>
  <property fmtid="{D5CDD505-2E9C-101B-9397-08002B2CF9AE}" pid="3" name="MediaServiceImageTags">
    <vt:lpwstr/>
  </property>
</Properties>
</file>