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xtgroup-my.sharepoint.com/personal/serena_benizzi_txtgroup_com/Documents/Desktop/"/>
    </mc:Choice>
  </mc:AlternateContent>
  <xr:revisionPtr revIDLastSave="231" documentId="8_{A78C7536-97BF-48D2-BA94-46715E1744FE}" xr6:coauthVersionLast="47" xr6:coauthVersionMax="47" xr10:uidLastSave="{28C1A28E-689E-4E84-8001-3B8E742F8686}"/>
  <bookViews>
    <workbookView xWindow="28680" yWindow="-120" windowWidth="38640" windowHeight="21120" xr2:uid="{0B195AD6-32CB-4A36-B82B-11DD411C7709}"/>
  </bookViews>
  <sheets>
    <sheet name="Progetto Kiron CDG" sheetId="2" r:id="rId1"/>
  </sheets>
  <definedNames>
    <definedName name="_xlnm._FilterDatabase" localSheetId="0" hidden="1">'Progetto Kiron CDG'!$A$1:$M$85</definedName>
  </definedName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/>
  <c r="F15" i="2"/>
  <c r="F14" i="2"/>
  <c r="F46" i="2" l="1"/>
  <c r="F45" i="2"/>
  <c r="F44" i="2"/>
  <c r="F43" i="2"/>
  <c r="F42" i="2"/>
  <c r="F40" i="2"/>
  <c r="F39" i="2"/>
  <c r="F38" i="2"/>
  <c r="F37" i="2"/>
  <c r="F36" i="2"/>
  <c r="F35" i="2"/>
  <c r="F34" i="2"/>
  <c r="F33" i="2"/>
  <c r="F32" i="2"/>
  <c r="F9" i="2"/>
  <c r="F10" i="2"/>
  <c r="F11" i="2"/>
  <c r="F12" i="2"/>
  <c r="F13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8" i="2"/>
  <c r="F2" i="2"/>
</calcChain>
</file>

<file path=xl/sharedStrings.xml><?xml version="1.0" encoding="utf-8"?>
<sst xmlns="http://schemas.openxmlformats.org/spreadsheetml/2006/main" count="195" uniqueCount="53">
  <si>
    <t>Issue Id</t>
  </si>
  <si>
    <t>epic link</t>
  </si>
  <si>
    <t>Relates Link</t>
  </si>
  <si>
    <t>issue type</t>
  </si>
  <si>
    <t>summary</t>
  </si>
  <si>
    <t>description</t>
  </si>
  <si>
    <t>nr account</t>
  </si>
  <si>
    <t>priority</t>
  </si>
  <si>
    <t>Start Date</t>
  </si>
  <si>
    <t>Due Date</t>
  </si>
  <si>
    <t>Epic</t>
  </si>
  <si>
    <t>Medium</t>
  </si>
  <si>
    <t>Progetto</t>
  </si>
  <si>
    <t>Process</t>
  </si>
  <si>
    <t>Story</t>
  </si>
  <si>
    <t>Weight</t>
  </si>
  <si>
    <t>Component</t>
  </si>
  <si>
    <t>Effort Seconds</t>
  </si>
  <si>
    <t>Project Management e coordinamento</t>
  </si>
  <si>
    <t>Task</t>
  </si>
  <si>
    <t>Gestione e coordinamento progettuale</t>
  </si>
  <si>
    <t>SAL interni e con cliente</t>
  </si>
  <si>
    <t>UAT</t>
  </si>
  <si>
    <t>Redazione Testbook</t>
  </si>
  <si>
    <t>esecuzione UAT</t>
  </si>
  <si>
    <t>Rework</t>
  </si>
  <si>
    <t>Categoria</t>
  </si>
  <si>
    <t>Test interno</t>
  </si>
  <si>
    <t>Actual</t>
  </si>
  <si>
    <t>Forecast</t>
  </si>
  <si>
    <t>Kiron CDG</t>
  </si>
  <si>
    <t>Data import</t>
  </si>
  <si>
    <t>Analisi funzionale e tecnica</t>
  </si>
  <si>
    <t>Analisi funzionale</t>
  </si>
  <si>
    <t>Analisi tecnica</t>
  </si>
  <si>
    <t>Sviluppo e configurazione Kiron CDG e base dati</t>
  </si>
  <si>
    <t>Sviluppo connettori automatici per acquisizione dati da Campus</t>
  </si>
  <si>
    <t>Sviluppo connettori automatici per acquisizione dati da Infinity Zucchetti</t>
  </si>
  <si>
    <t>Configurator</t>
  </si>
  <si>
    <t>Sviluppo sezione impostazione regole di normalizzazione e standard</t>
  </si>
  <si>
    <t>Data management</t>
  </si>
  <si>
    <t>Motore di calcolo per applicazione regole normalizzazione e standard</t>
  </si>
  <si>
    <t>Motore di calcolo per ribaltamenti sulle dimensioni gerarchiche</t>
  </si>
  <si>
    <t>Sviluppo interfaccia web per monitoraggio esecuzione processi</t>
  </si>
  <si>
    <t>Sviluppo interfaccia web per monitoraggio risultati elaborati</t>
  </si>
  <si>
    <t xml:space="preserve">Disegno e realizzazione base dati su DB di frontiera </t>
  </si>
  <si>
    <t>Data output</t>
  </si>
  <si>
    <t xml:space="preserve">Sviluppo sezione configurazione delle regole/parametri per il calcolo del forecast </t>
  </si>
  <si>
    <t>Motore di calcolo per applicazione regole e parametri forecast</t>
  </si>
  <si>
    <t>DevOps</t>
  </si>
  <si>
    <t>UX/UI?</t>
  </si>
  <si>
    <t>Bug fixing?</t>
  </si>
  <si>
    <t>Web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</si>
</sst>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17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16" fillId="33" borderId="0" xfId="0" applyFont="1" applyFill="1"/>
    <xf numFmtId="0" fontId="0" fillId="33" borderId="0" xfId="0" applyFill="1" applyAlignment="1">
      <alignment horizontal="left"/>
    </xf>
    <xf numFmtId="0" fontId="0" fillId="33" borderId="0" xfId="0" applyFill="1" applyAlignment="1">
      <alignment horizontal="left" vertical="top"/>
    </xf>
    <xf numFmtId="0" fontId="0" fillId="35" borderId="0" xfId="0" applyFill="1" applyAlignment="1">
      <alignment horizontal="left" vertical="top"/>
    </xf>
    <xf numFmtId="0" fontId="16" fillId="33" borderId="0" xfId="0" applyFont="1" applyFill="1" applyAlignment="1">
      <alignment horizontal="left" vertical="top"/>
    </xf>
    <xf numFmtId="0" fontId="16" fillId="34" borderId="0" xfId="0" applyFont="1" applyFill="1" applyAlignment="1">
      <alignment horizontal="left" vertical="top"/>
    </xf>
    <xf numFmtId="0" fontId="1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36" borderId="0" xfId="0" applyFill="1" applyAlignment="1">
      <alignment horizontal="left" vertical="top"/>
    </xf>
    <xf numFmtId="0" fontId="16" fillId="33" borderId="0" xfId="0" applyFont="1" applyFill="1" applyAlignment="1">
      <alignment horizontal="left"/>
    </xf>
    <xf numFmtId="0" fontId="0" fillId="33" borderId="0" xfId="0" applyFill="1"/>
    <xf numFmtId="0" fontId="19" fillId="33" borderId="0" xfId="42" applyFont="1" applyFill="1" applyAlignment="1">
      <alignment vertical="center"/>
    </xf>
    <xf numFmtId="0" fontId="0" fillId="0" borderId="0" xfId="0" applyFill="1"/>
    <xf numFmtId="0" fontId="0" fillId="33" borderId="0" xfId="0" applyFont="1" applyFill="1" applyAlignment="1">
      <alignment horizontal="left"/>
    </xf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 2 2" xfId="42" xr:uid="{08ABE4CF-25A0-4BA8-8136-ED6FA47AADED}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5">
    <dxf>
      <font>
        <color theme="8" tint="-0.499984740745262"/>
      </font>
      <fill>
        <patternFill>
          <bgColor rgb="FFD5B8EA"/>
        </patternFill>
      </fill>
    </dxf>
    <dxf>
      <font>
        <color theme="5" tint="-0.499984740745262"/>
      </font>
      <fill>
        <patternFill>
          <bgColor rgb="FFFDC69D"/>
        </patternFill>
      </fill>
    </dxf>
    <dxf>
      <font>
        <color rgb="FF802275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theme="8" tint="-0.499984740745262"/>
      </font>
      <fill>
        <patternFill>
          <bgColor rgb="FFD5B8EA"/>
        </patternFill>
      </fill>
    </dxf>
    <dxf>
      <font>
        <color theme="5" tint="-0.499984740745262"/>
      </font>
      <fill>
        <patternFill>
          <bgColor rgb="FFFDC69D"/>
        </patternFill>
      </fill>
    </dxf>
    <dxf>
      <font>
        <color rgb="FF802275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theme="8" tint="-0.499984740745262"/>
      </font>
      <fill>
        <patternFill>
          <bgColor rgb="FFD5B8EA"/>
        </patternFill>
      </fill>
    </dxf>
    <dxf>
      <font>
        <color theme="5" tint="-0.499984740745262"/>
      </font>
      <fill>
        <patternFill>
          <bgColor rgb="FFFDC69D"/>
        </patternFill>
      </fill>
    </dxf>
    <dxf>
      <font>
        <color rgb="FF802275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BAAC0-B364-424B-88AE-5E2858CE9EAE}">
  <dimension ref="A1:N58"/>
  <sheetViews>
    <sheetView tabSelected="1" zoomScale="134" zoomScaleNormal="190" workbookViewId="0">
      <pane ySplit="1" topLeftCell="A2" activePane="bottomLeft" state="frozen"/>
      <selection pane="bottomLeft" activeCell="D17" sqref="D17"/>
    </sheetView>
  </sheetViews>
  <sheetFormatPr defaultColWidth="8.6640625" defaultRowHeight="14.4" x14ac:dyDescent="0.3"/>
  <cols>
    <col min="1" max="1" width="9.5546875" bestFit="1" customWidth="1"/>
    <col min="2" max="2" width="10.33203125" bestFit="1" customWidth="1"/>
    <col min="3" max="3" width="13.33203125" bestFit="1" customWidth="1"/>
    <col min="4" max="4" width="11.5546875" bestFit="1" customWidth="1"/>
    <col min="5" max="5" width="59.21875" bestFit="1" customWidth="1"/>
    <col min="6" max="6" width="30.44140625" customWidth="1"/>
    <col min="7" max="7" width="11.88671875" bestFit="1" customWidth="1"/>
    <col min="8" max="8" width="9.33203125" bestFit="1" customWidth="1"/>
    <col min="9" max="9" width="11.5546875" bestFit="1" customWidth="1"/>
    <col min="10" max="10" width="10.6640625" bestFit="1" customWidth="1"/>
    <col min="11" max="11" width="7.6640625" bestFit="1" customWidth="1"/>
    <col min="12" max="12" width="9" bestFit="1" customWidth="1"/>
    <col min="13" max="13" width="11.33203125" bestFit="1" customWidth="1"/>
    <col min="14" max="14" width="15.33203125" customWidth="1"/>
  </cols>
  <sheetData>
    <row r="1" spans="1:14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15</v>
      </c>
      <c r="L1" s="3" t="s">
        <v>26</v>
      </c>
      <c r="M1" s="3" t="s">
        <v>16</v>
      </c>
      <c r="N1" s="3" t="s">
        <v>17</v>
      </c>
    </row>
    <row r="2" spans="1:14" x14ac:dyDescent="0.3">
      <c r="A2" s="4">
        <v>10001</v>
      </c>
      <c r="D2" t="s">
        <v>10</v>
      </c>
      <c r="E2" t="s">
        <v>30</v>
      </c>
      <c r="F2" t="str">
        <f>+E2</f>
        <v>Kiron CDG</v>
      </c>
      <c r="G2">
        <v>977</v>
      </c>
      <c r="H2" t="s">
        <v>11</v>
      </c>
      <c r="L2" t="s">
        <v>12</v>
      </c>
    </row>
    <row r="3" spans="1:14" x14ac:dyDescent="0.3">
      <c r="A3" s="4">
        <v>10002</v>
      </c>
      <c r="B3" s="4">
        <v>10001</v>
      </c>
      <c r="C3" s="6"/>
      <c r="D3" s="6" t="s">
        <v>13</v>
      </c>
      <c r="E3" s="6" t="s">
        <v>18</v>
      </c>
      <c r="F3" s="6"/>
      <c r="G3">
        <v>977</v>
      </c>
      <c r="H3" t="s">
        <v>11</v>
      </c>
      <c r="L3" t="s">
        <v>12</v>
      </c>
    </row>
    <row r="4" spans="1:14" x14ac:dyDescent="0.3">
      <c r="A4" s="12">
        <v>10003</v>
      </c>
      <c r="B4" s="7">
        <v>10001</v>
      </c>
      <c r="C4" s="8">
        <v>10002</v>
      </c>
      <c r="D4" s="9" t="s">
        <v>14</v>
      </c>
      <c r="E4" s="9" t="s">
        <v>18</v>
      </c>
      <c r="F4" s="9" t="s">
        <v>18</v>
      </c>
      <c r="G4">
        <v>977</v>
      </c>
      <c r="H4" t="s">
        <v>11</v>
      </c>
      <c r="L4" t="s">
        <v>12</v>
      </c>
    </row>
    <row r="5" spans="1:14" x14ac:dyDescent="0.3">
      <c r="A5" s="4">
        <v>10004</v>
      </c>
      <c r="B5" s="5">
        <v>10001</v>
      </c>
      <c r="C5" s="11">
        <v>10003</v>
      </c>
      <c r="D5" s="10" t="s">
        <v>19</v>
      </c>
      <c r="E5" s="10" t="s">
        <v>20</v>
      </c>
      <c r="F5" s="10" t="s">
        <v>20</v>
      </c>
      <c r="G5">
        <v>977</v>
      </c>
      <c r="H5" t="s">
        <v>11</v>
      </c>
      <c r="L5" t="s">
        <v>12</v>
      </c>
    </row>
    <row r="6" spans="1:14" x14ac:dyDescent="0.3">
      <c r="A6" s="4">
        <v>10005</v>
      </c>
      <c r="B6" s="5">
        <v>10001</v>
      </c>
      <c r="C6" s="11">
        <v>10003</v>
      </c>
      <c r="D6" s="10" t="s">
        <v>19</v>
      </c>
      <c r="E6" s="10" t="s">
        <v>21</v>
      </c>
      <c r="F6" s="10" t="s">
        <v>21</v>
      </c>
      <c r="G6">
        <v>977</v>
      </c>
      <c r="H6" t="s">
        <v>11</v>
      </c>
      <c r="L6" t="s">
        <v>12</v>
      </c>
    </row>
    <row r="7" spans="1:14" x14ac:dyDescent="0.3">
      <c r="A7" s="4">
        <v>10006</v>
      </c>
      <c r="B7" s="5">
        <v>10001</v>
      </c>
      <c r="C7" s="6"/>
      <c r="D7" s="6" t="s">
        <v>13</v>
      </c>
      <c r="E7" s="6" t="s">
        <v>28</v>
      </c>
      <c r="F7" s="6"/>
      <c r="G7">
        <v>977</v>
      </c>
      <c r="H7" t="s">
        <v>11</v>
      </c>
      <c r="L7" t="s">
        <v>12</v>
      </c>
    </row>
    <row r="8" spans="1:14" x14ac:dyDescent="0.3">
      <c r="A8" s="12">
        <v>10007</v>
      </c>
      <c r="B8" s="7">
        <v>10001</v>
      </c>
      <c r="C8" s="8">
        <v>10006</v>
      </c>
      <c r="D8" s="9" t="s">
        <v>14</v>
      </c>
      <c r="E8" s="9" t="s">
        <v>32</v>
      </c>
      <c r="F8" s="1" t="str">
        <f>+E8</f>
        <v>Analisi funzionale e tecnica</v>
      </c>
      <c r="G8">
        <v>977</v>
      </c>
      <c r="H8" t="s">
        <v>11</v>
      </c>
      <c r="L8" t="s">
        <v>12</v>
      </c>
    </row>
    <row r="9" spans="1:14" x14ac:dyDescent="0.3">
      <c r="A9" s="4">
        <v>10008</v>
      </c>
      <c r="B9" s="5">
        <v>10001</v>
      </c>
      <c r="C9" s="11">
        <v>10007</v>
      </c>
      <c r="D9" s="10" t="s">
        <v>19</v>
      </c>
      <c r="E9" t="s">
        <v>33</v>
      </c>
      <c r="F9" t="str">
        <f t="shared" ref="F9:F46" si="0">+E9</f>
        <v>Analisi funzionale</v>
      </c>
      <c r="G9">
        <v>977</v>
      </c>
      <c r="H9" t="s">
        <v>11</v>
      </c>
      <c r="L9" t="s">
        <v>12</v>
      </c>
    </row>
    <row r="10" spans="1:14" x14ac:dyDescent="0.3">
      <c r="A10" s="4">
        <v>10009</v>
      </c>
      <c r="B10" s="5">
        <v>10001</v>
      </c>
      <c r="C10" s="11">
        <v>10007</v>
      </c>
      <c r="D10" s="10" t="s">
        <v>19</v>
      </c>
      <c r="E10" t="s">
        <v>34</v>
      </c>
      <c r="F10" t="str">
        <f t="shared" si="0"/>
        <v>Analisi tecnica</v>
      </c>
      <c r="G10">
        <v>977</v>
      </c>
      <c r="H10" t="s">
        <v>11</v>
      </c>
      <c r="L10" t="s">
        <v>12</v>
      </c>
    </row>
    <row r="11" spans="1:14" x14ac:dyDescent="0.3">
      <c r="A11" s="12">
        <v>10010</v>
      </c>
      <c r="B11" s="7">
        <v>10001</v>
      </c>
      <c r="C11" s="12">
        <v>10006</v>
      </c>
      <c r="D11" s="9" t="s">
        <v>14</v>
      </c>
      <c r="E11" s="9" t="s">
        <v>52</v>
      </c>
      <c r="F11" s="1" t="str">
        <f t="shared" si="0"/>
        <v>Web App</v>
      </c>
      <c r="G11">
        <v>977</v>
      </c>
      <c r="H11" t="s">
        <v>11</v>
      </c>
      <c r="L11" t="s">
        <v>12</v>
      </c>
    </row>
    <row r="12" spans="1:14" x14ac:dyDescent="0.3">
      <c r="A12" s="4">
        <v>10011</v>
      </c>
      <c r="B12" s="5">
        <v>10001</v>
      </c>
      <c r="C12" s="11">
        <v>10010</v>
      </c>
      <c r="D12" s="10" t="s">
        <v>19</v>
      </c>
      <c r="E12" t="s">
        <v>35</v>
      </c>
      <c r="F12" t="str">
        <f t="shared" si="0"/>
        <v>Sviluppo e configurazione Kiron CDG e base dati</v>
      </c>
      <c r="G12">
        <v>977</v>
      </c>
      <c r="H12" t="s">
        <v>11</v>
      </c>
      <c r="L12" t="s">
        <v>12</v>
      </c>
    </row>
    <row r="13" spans="1:14" x14ac:dyDescent="0.3">
      <c r="A13" s="4">
        <v>10012</v>
      </c>
      <c r="B13" s="5">
        <v>10001</v>
      </c>
      <c r="C13" s="11">
        <v>10010</v>
      </c>
      <c r="D13" s="10" t="s">
        <v>19</v>
      </c>
      <c r="E13" t="s">
        <v>49</v>
      </c>
      <c r="F13" t="str">
        <f t="shared" si="0"/>
        <v>DevOps</v>
      </c>
      <c r="G13">
        <v>977</v>
      </c>
      <c r="H13" t="s">
        <v>11</v>
      </c>
      <c r="L13" t="s">
        <v>12</v>
      </c>
    </row>
    <row r="14" spans="1:14" x14ac:dyDescent="0.3">
      <c r="A14" s="4">
        <v>10013</v>
      </c>
      <c r="B14" s="5">
        <v>10001</v>
      </c>
      <c r="C14" s="11">
        <v>10010</v>
      </c>
      <c r="D14" s="10" t="s">
        <v>19</v>
      </c>
      <c r="E14" t="s">
        <v>43</v>
      </c>
      <c r="F14" s="15" t="str">
        <f t="shared" ref="F14:F16" si="1">+E14</f>
        <v>Sviluppo interfaccia web per monitoraggio esecuzione processi</v>
      </c>
      <c r="G14">
        <v>977</v>
      </c>
      <c r="H14" t="s">
        <v>11</v>
      </c>
      <c r="L14" t="s">
        <v>12</v>
      </c>
    </row>
    <row r="15" spans="1:14" x14ac:dyDescent="0.3">
      <c r="A15" s="4">
        <v>10014</v>
      </c>
      <c r="B15" s="5">
        <v>10001</v>
      </c>
      <c r="C15" s="11">
        <v>10010</v>
      </c>
      <c r="D15" s="10" t="s">
        <v>19</v>
      </c>
      <c r="E15" t="s">
        <v>44</v>
      </c>
      <c r="F15" s="15" t="str">
        <f t="shared" si="1"/>
        <v>Sviluppo interfaccia web per monitoraggio risultati elaborati</v>
      </c>
      <c r="G15">
        <v>977</v>
      </c>
      <c r="H15" t="s">
        <v>11</v>
      </c>
      <c r="L15" t="s">
        <v>12</v>
      </c>
    </row>
    <row r="16" spans="1:14" x14ac:dyDescent="0.3">
      <c r="A16" s="4">
        <v>10015</v>
      </c>
      <c r="B16" s="5">
        <v>10001</v>
      </c>
      <c r="C16" s="11">
        <v>10010</v>
      </c>
      <c r="D16" s="10" t="s">
        <v>19</v>
      </c>
      <c r="E16" t="s">
        <v>27</v>
      </c>
      <c r="F16" s="15" t="str">
        <f t="shared" si="1"/>
        <v>Test interno</v>
      </c>
      <c r="G16">
        <v>977</v>
      </c>
      <c r="H16" t="s">
        <v>11</v>
      </c>
      <c r="L16" t="s">
        <v>12</v>
      </c>
    </row>
    <row r="17" spans="1:12" x14ac:dyDescent="0.3">
      <c r="A17" s="12">
        <v>10016</v>
      </c>
      <c r="B17" s="7">
        <v>10001</v>
      </c>
      <c r="C17" s="12">
        <v>10006</v>
      </c>
      <c r="D17" s="9" t="s">
        <v>14</v>
      </c>
      <c r="E17" s="9" t="s">
        <v>31</v>
      </c>
      <c r="F17" s="1" t="str">
        <f t="shared" si="0"/>
        <v>Data import</v>
      </c>
      <c r="G17">
        <v>977</v>
      </c>
      <c r="H17" t="s">
        <v>11</v>
      </c>
      <c r="L17" t="s">
        <v>12</v>
      </c>
    </row>
    <row r="18" spans="1:12" x14ac:dyDescent="0.3">
      <c r="A18" s="16">
        <v>10017</v>
      </c>
      <c r="B18" s="5">
        <v>10001</v>
      </c>
      <c r="C18" s="16">
        <v>10016</v>
      </c>
      <c r="D18" s="10" t="s">
        <v>19</v>
      </c>
      <c r="E18" t="s">
        <v>36</v>
      </c>
      <c r="F18" t="str">
        <f t="shared" si="0"/>
        <v>Sviluppo connettori automatici per acquisizione dati da Campus</v>
      </c>
      <c r="G18">
        <v>977</v>
      </c>
      <c r="H18" t="s">
        <v>11</v>
      </c>
      <c r="L18" t="s">
        <v>12</v>
      </c>
    </row>
    <row r="19" spans="1:12" x14ac:dyDescent="0.3">
      <c r="A19" s="16">
        <v>10018</v>
      </c>
      <c r="B19" s="5">
        <v>10001</v>
      </c>
      <c r="C19" s="16">
        <v>10016</v>
      </c>
      <c r="D19" s="10" t="s">
        <v>19</v>
      </c>
      <c r="E19" t="s">
        <v>37</v>
      </c>
      <c r="F19" t="str">
        <f t="shared" si="0"/>
        <v>Sviluppo connettori automatici per acquisizione dati da Infinity Zucchetti</v>
      </c>
      <c r="G19">
        <v>977</v>
      </c>
      <c r="H19" t="s">
        <v>11</v>
      </c>
      <c r="L19" t="s">
        <v>12</v>
      </c>
    </row>
    <row r="20" spans="1:12" x14ac:dyDescent="0.3">
      <c r="A20" s="16">
        <v>10019</v>
      </c>
      <c r="B20" s="5">
        <v>10001</v>
      </c>
      <c r="C20" s="16">
        <v>10016</v>
      </c>
      <c r="D20" s="10" t="s">
        <v>19</v>
      </c>
      <c r="E20" t="s">
        <v>27</v>
      </c>
      <c r="F20" t="str">
        <f t="shared" si="0"/>
        <v>Test interno</v>
      </c>
      <c r="G20">
        <v>977</v>
      </c>
      <c r="H20" t="s">
        <v>11</v>
      </c>
      <c r="L20" t="s">
        <v>12</v>
      </c>
    </row>
    <row r="21" spans="1:12" x14ac:dyDescent="0.3">
      <c r="A21" s="12">
        <v>10020</v>
      </c>
      <c r="B21" s="7">
        <v>10001</v>
      </c>
      <c r="C21" s="12">
        <v>10006</v>
      </c>
      <c r="D21" s="9" t="s">
        <v>14</v>
      </c>
      <c r="E21" s="9" t="s">
        <v>38</v>
      </c>
      <c r="F21" s="1" t="str">
        <f t="shared" si="0"/>
        <v>Configurator</v>
      </c>
      <c r="G21">
        <v>977</v>
      </c>
      <c r="H21" t="s">
        <v>11</v>
      </c>
      <c r="L21" t="s">
        <v>12</v>
      </c>
    </row>
    <row r="22" spans="1:12" x14ac:dyDescent="0.3">
      <c r="A22" s="16">
        <v>10021</v>
      </c>
      <c r="B22" s="5">
        <v>10001</v>
      </c>
      <c r="C22" s="16">
        <v>10020</v>
      </c>
      <c r="D22" s="10" t="s">
        <v>19</v>
      </c>
      <c r="E22" t="s">
        <v>39</v>
      </c>
      <c r="F22" t="str">
        <f t="shared" si="0"/>
        <v>Sviluppo sezione impostazione regole di normalizzazione e standard</v>
      </c>
      <c r="G22">
        <v>977</v>
      </c>
      <c r="H22" t="s">
        <v>11</v>
      </c>
      <c r="L22" t="s">
        <v>12</v>
      </c>
    </row>
    <row r="23" spans="1:12" x14ac:dyDescent="0.3">
      <c r="A23" s="16">
        <v>10022</v>
      </c>
      <c r="B23" s="5">
        <v>10001</v>
      </c>
      <c r="C23" s="16">
        <v>10020</v>
      </c>
      <c r="D23" s="10" t="s">
        <v>19</v>
      </c>
      <c r="E23" t="s">
        <v>27</v>
      </c>
      <c r="F23" t="str">
        <f t="shared" si="0"/>
        <v>Test interno</v>
      </c>
      <c r="G23">
        <v>977</v>
      </c>
      <c r="H23" t="s">
        <v>11</v>
      </c>
      <c r="L23" t="s">
        <v>12</v>
      </c>
    </row>
    <row r="24" spans="1:12" x14ac:dyDescent="0.3">
      <c r="A24" s="12">
        <v>10023</v>
      </c>
      <c r="B24" s="7">
        <v>10001</v>
      </c>
      <c r="C24" s="12">
        <v>10006</v>
      </c>
      <c r="D24" s="9" t="s">
        <v>14</v>
      </c>
      <c r="E24" s="9" t="s">
        <v>40</v>
      </c>
      <c r="F24" s="1" t="str">
        <f t="shared" si="0"/>
        <v>Data management</v>
      </c>
      <c r="G24">
        <v>977</v>
      </c>
      <c r="H24" t="s">
        <v>11</v>
      </c>
      <c r="L24" t="s">
        <v>12</v>
      </c>
    </row>
    <row r="25" spans="1:12" x14ac:dyDescent="0.3">
      <c r="A25" s="16">
        <v>10024</v>
      </c>
      <c r="B25" s="5">
        <v>10001</v>
      </c>
      <c r="C25" s="16">
        <v>10023</v>
      </c>
      <c r="D25" s="10" t="s">
        <v>19</v>
      </c>
      <c r="E25" t="s">
        <v>41</v>
      </c>
      <c r="F25" t="str">
        <f t="shared" si="0"/>
        <v>Motore di calcolo per applicazione regole normalizzazione e standard</v>
      </c>
      <c r="G25">
        <v>977</v>
      </c>
      <c r="H25" t="s">
        <v>11</v>
      </c>
      <c r="L25" t="s">
        <v>12</v>
      </c>
    </row>
    <row r="26" spans="1:12" x14ac:dyDescent="0.3">
      <c r="A26" s="16">
        <v>10025</v>
      </c>
      <c r="B26" s="5">
        <v>10001</v>
      </c>
      <c r="C26" s="16">
        <v>10023</v>
      </c>
      <c r="D26" s="10" t="s">
        <v>19</v>
      </c>
      <c r="E26" t="s">
        <v>42</v>
      </c>
      <c r="F26" t="str">
        <f t="shared" si="0"/>
        <v>Motore di calcolo per ribaltamenti sulle dimensioni gerarchiche</v>
      </c>
      <c r="G26">
        <v>977</v>
      </c>
      <c r="H26" t="s">
        <v>11</v>
      </c>
      <c r="L26" t="s">
        <v>12</v>
      </c>
    </row>
    <row r="27" spans="1:12" x14ac:dyDescent="0.3">
      <c r="A27" s="16">
        <v>10026</v>
      </c>
      <c r="B27" s="5">
        <v>10001</v>
      </c>
      <c r="C27" s="16">
        <v>10023</v>
      </c>
      <c r="D27" s="10" t="s">
        <v>19</v>
      </c>
      <c r="E27" t="s">
        <v>27</v>
      </c>
      <c r="F27" t="str">
        <f t="shared" si="0"/>
        <v>Test interno</v>
      </c>
      <c r="G27">
        <v>977</v>
      </c>
      <c r="H27" t="s">
        <v>11</v>
      </c>
      <c r="L27" t="s">
        <v>12</v>
      </c>
    </row>
    <row r="28" spans="1:12" x14ac:dyDescent="0.3">
      <c r="A28" s="12">
        <v>10027</v>
      </c>
      <c r="B28" s="7">
        <v>10001</v>
      </c>
      <c r="C28" s="12">
        <v>10006</v>
      </c>
      <c r="D28" s="9" t="s">
        <v>14</v>
      </c>
      <c r="E28" s="9" t="s">
        <v>46</v>
      </c>
      <c r="F28" s="1" t="str">
        <f t="shared" si="0"/>
        <v>Data output</v>
      </c>
      <c r="G28">
        <v>977</v>
      </c>
      <c r="H28" t="s">
        <v>11</v>
      </c>
      <c r="L28" t="s">
        <v>12</v>
      </c>
    </row>
    <row r="29" spans="1:12" x14ac:dyDescent="0.3">
      <c r="A29" s="16">
        <v>10028</v>
      </c>
      <c r="B29" s="5">
        <v>10001</v>
      </c>
      <c r="C29" s="16">
        <v>10027</v>
      </c>
      <c r="D29" s="10" t="s">
        <v>19</v>
      </c>
      <c r="E29" t="s">
        <v>45</v>
      </c>
      <c r="F29" t="str">
        <f t="shared" si="0"/>
        <v xml:space="preserve">Disegno e realizzazione base dati su DB di frontiera </v>
      </c>
      <c r="G29">
        <v>977</v>
      </c>
      <c r="H29" t="s">
        <v>11</v>
      </c>
      <c r="L29" t="s">
        <v>12</v>
      </c>
    </row>
    <row r="30" spans="1:12" x14ac:dyDescent="0.3">
      <c r="A30" s="16">
        <v>10029</v>
      </c>
      <c r="B30" s="5">
        <v>10001</v>
      </c>
      <c r="C30" s="16">
        <v>10027</v>
      </c>
      <c r="D30" s="10" t="s">
        <v>19</v>
      </c>
      <c r="E30" t="s">
        <v>27</v>
      </c>
      <c r="F30" t="str">
        <f t="shared" si="0"/>
        <v>Test interno</v>
      </c>
      <c r="G30">
        <v>977</v>
      </c>
      <c r="H30" t="s">
        <v>11</v>
      </c>
      <c r="L30" t="s">
        <v>12</v>
      </c>
    </row>
    <row r="31" spans="1:12" x14ac:dyDescent="0.3">
      <c r="A31" s="16">
        <v>10030</v>
      </c>
      <c r="B31" s="5">
        <v>10001</v>
      </c>
      <c r="C31" s="6"/>
      <c r="D31" s="6" t="s">
        <v>13</v>
      </c>
      <c r="E31" s="6" t="s">
        <v>29</v>
      </c>
      <c r="F31" s="6"/>
      <c r="G31">
        <v>977</v>
      </c>
      <c r="H31" t="s">
        <v>11</v>
      </c>
      <c r="L31" t="s">
        <v>12</v>
      </c>
    </row>
    <row r="32" spans="1:12" x14ac:dyDescent="0.3">
      <c r="A32" s="12">
        <v>10031</v>
      </c>
      <c r="B32" s="7">
        <v>10001</v>
      </c>
      <c r="C32" s="12">
        <v>10030</v>
      </c>
      <c r="D32" s="9" t="s">
        <v>14</v>
      </c>
      <c r="E32" s="9" t="s">
        <v>38</v>
      </c>
      <c r="F32" s="1" t="str">
        <f t="shared" si="0"/>
        <v>Configurator</v>
      </c>
      <c r="G32">
        <v>977</v>
      </c>
      <c r="H32" t="s">
        <v>11</v>
      </c>
      <c r="L32" t="s">
        <v>12</v>
      </c>
    </row>
    <row r="33" spans="1:12" x14ac:dyDescent="0.3">
      <c r="A33" s="16">
        <v>10032</v>
      </c>
      <c r="B33" s="5">
        <v>10001</v>
      </c>
      <c r="C33" s="16">
        <v>10031</v>
      </c>
      <c r="D33" s="10" t="s">
        <v>19</v>
      </c>
      <c r="E33" t="s">
        <v>47</v>
      </c>
      <c r="F33" t="str">
        <f t="shared" si="0"/>
        <v xml:space="preserve">Sviluppo sezione configurazione delle regole/parametri per il calcolo del forecast </v>
      </c>
      <c r="G33">
        <v>977</v>
      </c>
      <c r="H33" t="s">
        <v>11</v>
      </c>
      <c r="L33" t="s">
        <v>12</v>
      </c>
    </row>
    <row r="34" spans="1:12" x14ac:dyDescent="0.3">
      <c r="A34" s="16">
        <v>10033</v>
      </c>
      <c r="B34" s="5">
        <v>10001</v>
      </c>
      <c r="C34" s="16">
        <v>10031</v>
      </c>
      <c r="D34" s="10" t="s">
        <v>19</v>
      </c>
      <c r="E34" t="s">
        <v>27</v>
      </c>
      <c r="F34" t="str">
        <f t="shared" si="0"/>
        <v>Test interno</v>
      </c>
      <c r="G34">
        <v>977</v>
      </c>
      <c r="H34" t="s">
        <v>11</v>
      </c>
      <c r="L34" t="s">
        <v>12</v>
      </c>
    </row>
    <row r="35" spans="1:12" x14ac:dyDescent="0.3">
      <c r="A35" s="12">
        <v>10034</v>
      </c>
      <c r="B35" s="7">
        <v>10001</v>
      </c>
      <c r="C35" s="12">
        <v>10030</v>
      </c>
      <c r="D35" s="9" t="s">
        <v>14</v>
      </c>
      <c r="E35" s="9" t="s">
        <v>40</v>
      </c>
      <c r="F35" s="1" t="str">
        <f t="shared" si="0"/>
        <v>Data management</v>
      </c>
      <c r="G35">
        <v>977</v>
      </c>
      <c r="H35" t="s">
        <v>11</v>
      </c>
      <c r="L35" t="s">
        <v>12</v>
      </c>
    </row>
    <row r="36" spans="1:12" x14ac:dyDescent="0.3">
      <c r="A36" s="16">
        <v>10035</v>
      </c>
      <c r="B36" s="5">
        <v>10001</v>
      </c>
      <c r="C36" s="16">
        <v>10034</v>
      </c>
      <c r="D36" s="10" t="s">
        <v>19</v>
      </c>
      <c r="E36" t="s">
        <v>48</v>
      </c>
      <c r="F36" t="str">
        <f t="shared" si="0"/>
        <v>Motore di calcolo per applicazione regole e parametri forecast</v>
      </c>
      <c r="G36">
        <v>977</v>
      </c>
      <c r="H36" t="s">
        <v>11</v>
      </c>
      <c r="L36" t="s">
        <v>12</v>
      </c>
    </row>
    <row r="37" spans="1:12" x14ac:dyDescent="0.3">
      <c r="A37" s="16">
        <v>10036</v>
      </c>
      <c r="B37" s="5">
        <v>10001</v>
      </c>
      <c r="C37" s="16">
        <v>10034</v>
      </c>
      <c r="D37" s="10" t="s">
        <v>19</v>
      </c>
      <c r="E37" t="s">
        <v>27</v>
      </c>
      <c r="F37" t="str">
        <f t="shared" si="0"/>
        <v>Test interno</v>
      </c>
      <c r="G37">
        <v>977</v>
      </c>
      <c r="H37" t="s">
        <v>11</v>
      </c>
      <c r="L37" t="s">
        <v>12</v>
      </c>
    </row>
    <row r="38" spans="1:12" x14ac:dyDescent="0.3">
      <c r="A38" s="12">
        <v>10037</v>
      </c>
      <c r="B38" s="7">
        <v>10001</v>
      </c>
      <c r="C38" s="12">
        <v>10030</v>
      </c>
      <c r="D38" s="9" t="s">
        <v>14</v>
      </c>
      <c r="E38" s="9" t="s">
        <v>46</v>
      </c>
      <c r="F38" s="1" t="str">
        <f t="shared" si="0"/>
        <v>Data output</v>
      </c>
      <c r="G38">
        <v>977</v>
      </c>
      <c r="H38" t="s">
        <v>11</v>
      </c>
      <c r="L38" t="s">
        <v>12</v>
      </c>
    </row>
    <row r="39" spans="1:12" x14ac:dyDescent="0.3">
      <c r="A39" s="16">
        <v>10038</v>
      </c>
      <c r="B39" s="5">
        <v>10001</v>
      </c>
      <c r="C39" s="16">
        <v>10037</v>
      </c>
      <c r="D39" s="10" t="s">
        <v>19</v>
      </c>
      <c r="E39" t="s">
        <v>45</v>
      </c>
      <c r="F39" t="str">
        <f t="shared" si="0"/>
        <v xml:space="preserve">Disegno e realizzazione base dati su DB di frontiera </v>
      </c>
      <c r="G39">
        <v>977</v>
      </c>
      <c r="H39" t="s">
        <v>11</v>
      </c>
      <c r="L39" t="s">
        <v>12</v>
      </c>
    </row>
    <row r="40" spans="1:12" x14ac:dyDescent="0.3">
      <c r="A40" s="16">
        <v>10039</v>
      </c>
      <c r="B40" s="5">
        <v>10001</v>
      </c>
      <c r="C40" s="16">
        <v>10037</v>
      </c>
      <c r="D40" s="10" t="s">
        <v>19</v>
      </c>
      <c r="E40" t="s">
        <v>27</v>
      </c>
      <c r="F40" t="str">
        <f t="shared" si="0"/>
        <v>Test interno</v>
      </c>
      <c r="G40">
        <v>977</v>
      </c>
      <c r="H40" t="s">
        <v>11</v>
      </c>
      <c r="L40" t="s">
        <v>12</v>
      </c>
    </row>
    <row r="41" spans="1:12" x14ac:dyDescent="0.3">
      <c r="A41" s="16">
        <v>10040</v>
      </c>
      <c r="B41" s="5">
        <v>10001</v>
      </c>
      <c r="C41" s="6"/>
      <c r="D41" s="6" t="s">
        <v>13</v>
      </c>
      <c r="E41" s="6" t="s">
        <v>22</v>
      </c>
      <c r="F41" s="6"/>
      <c r="G41">
        <v>977</v>
      </c>
      <c r="H41" t="s">
        <v>11</v>
      </c>
      <c r="L41" t="s">
        <v>12</v>
      </c>
    </row>
    <row r="42" spans="1:12" x14ac:dyDescent="0.3">
      <c r="A42" s="12">
        <v>10041</v>
      </c>
      <c r="B42" s="7">
        <v>10001</v>
      </c>
      <c r="C42" s="12">
        <v>10040</v>
      </c>
      <c r="D42" s="1" t="s">
        <v>14</v>
      </c>
      <c r="E42" s="1" t="s">
        <v>22</v>
      </c>
      <c r="F42" s="1" t="str">
        <f t="shared" si="0"/>
        <v>UAT</v>
      </c>
      <c r="G42">
        <v>977</v>
      </c>
      <c r="H42" t="s">
        <v>11</v>
      </c>
      <c r="L42" t="s">
        <v>12</v>
      </c>
    </row>
    <row r="43" spans="1:12" x14ac:dyDescent="0.3">
      <c r="A43" s="16">
        <v>10042</v>
      </c>
      <c r="B43" s="5">
        <v>10001</v>
      </c>
      <c r="C43" s="16">
        <v>10041</v>
      </c>
      <c r="D43" t="s">
        <v>19</v>
      </c>
      <c r="E43" t="s">
        <v>23</v>
      </c>
      <c r="F43" t="str">
        <f t="shared" si="0"/>
        <v>Redazione Testbook</v>
      </c>
      <c r="G43">
        <v>977</v>
      </c>
      <c r="H43" t="s">
        <v>11</v>
      </c>
      <c r="L43" t="s">
        <v>12</v>
      </c>
    </row>
    <row r="44" spans="1:12" x14ac:dyDescent="0.3">
      <c r="A44" s="16">
        <v>10043</v>
      </c>
      <c r="B44" s="5">
        <v>10001</v>
      </c>
      <c r="C44" s="16">
        <v>10041</v>
      </c>
      <c r="D44" t="s">
        <v>19</v>
      </c>
      <c r="E44" t="s">
        <v>24</v>
      </c>
      <c r="F44" t="str">
        <f t="shared" si="0"/>
        <v>esecuzione UAT</v>
      </c>
      <c r="G44">
        <v>977</v>
      </c>
      <c r="H44" t="s">
        <v>11</v>
      </c>
      <c r="L44" t="s">
        <v>12</v>
      </c>
    </row>
    <row r="45" spans="1:12" x14ac:dyDescent="0.3">
      <c r="A45" s="16">
        <v>10044</v>
      </c>
      <c r="B45" s="5">
        <v>10001</v>
      </c>
      <c r="C45" s="16">
        <v>10041</v>
      </c>
      <c r="D45" t="s">
        <v>19</v>
      </c>
      <c r="E45" t="s">
        <v>25</v>
      </c>
      <c r="F45" t="str">
        <f t="shared" si="0"/>
        <v>Rework</v>
      </c>
      <c r="G45">
        <v>977</v>
      </c>
      <c r="H45" t="s">
        <v>11</v>
      </c>
      <c r="L45" t="s">
        <v>12</v>
      </c>
    </row>
    <row r="46" spans="1:12" x14ac:dyDescent="0.3">
      <c r="E46" s="13" t="s">
        <v>51</v>
      </c>
      <c r="F46" t="str">
        <f t="shared" si="0"/>
        <v>Bug fixing?</v>
      </c>
    </row>
    <row r="47" spans="1:12" x14ac:dyDescent="0.3">
      <c r="E47" s="14" t="s">
        <v>50</v>
      </c>
    </row>
    <row r="51" spans="6:6" ht="14.25" customHeight="1" x14ac:dyDescent="0.3"/>
    <row r="52" spans="6:6" ht="14.25" customHeight="1" x14ac:dyDescent="0.3">
      <c r="F52" s="2"/>
    </row>
    <row r="57" spans="6:6" ht="15.75" customHeight="1" x14ac:dyDescent="0.3"/>
    <row r="58" spans="6:6" ht="18" customHeight="1" x14ac:dyDescent="0.3"/>
  </sheetData>
  <phoneticPr fontId="18" type="noConversion"/>
  <conditionalFormatting sqref="B65:C67">
    <cfRule type="expression" dxfId="14" priority="186">
      <formula>$D65="Task"</formula>
    </cfRule>
    <cfRule type="expression" dxfId="13" priority="187">
      <formula>$D65="Story"</formula>
    </cfRule>
    <cfRule type="expression" dxfId="12" priority="188">
      <formula>#REF!="Rendicontazione"</formula>
    </cfRule>
    <cfRule type="expression" dxfId="11" priority="189">
      <formula>$D65="Process"</formula>
    </cfRule>
    <cfRule type="expression" dxfId="10" priority="190">
      <formula>$D65="Epic"</formula>
    </cfRule>
  </conditionalFormatting>
  <conditionalFormatting sqref="D1 E49:E1048576 E1:E47 A1:C1048576">
    <cfRule type="expression" dxfId="4" priority="1">
      <formula>$D1="Task"</formula>
    </cfRule>
    <cfRule type="expression" dxfId="3" priority="2">
      <formula>$D1="Story"</formula>
    </cfRule>
    <cfRule type="expression" dxfId="2" priority="3">
      <formula>$D1="Rendicontazione"</formula>
    </cfRule>
    <cfRule type="expression" dxfId="1" priority="4">
      <formula>$D1="Process"</formula>
    </cfRule>
    <cfRule type="expression" dxfId="0" priority="5">
      <formula>$D1="Epic"</formula>
    </cfRule>
  </conditionalFormatting>
  <conditionalFormatting sqref="D2:D1048576">
    <cfRule type="containsText" dxfId="9" priority="96" operator="containsText" text="Task">
      <formula>NOT(ISERROR(SEARCH("Task",D2)))</formula>
    </cfRule>
    <cfRule type="containsText" dxfId="8" priority="97" operator="containsText" text="Story">
      <formula>NOT(ISERROR(SEARCH("Story",D2)))</formula>
    </cfRule>
    <cfRule type="containsText" dxfId="7" priority="98" operator="containsText" text="Rendicontazione">
      <formula>NOT(ISERROR(SEARCH("Rendicontazione",D2)))</formula>
    </cfRule>
    <cfRule type="containsText" dxfId="6" priority="99" operator="containsText" text="Process">
      <formula>NOT(ISERROR(SEARCH("Process",D2)))</formula>
    </cfRule>
    <cfRule type="containsText" dxfId="5" priority="100" operator="containsText" text="Epic">
      <formula>NOT(ISERROR(SEARCH("Epic",D2)))</formula>
    </cfRule>
  </conditionalFormatting>
  <dataValidations count="1">
    <dataValidation type="list" allowBlank="1" showInputMessage="1" showErrorMessage="1" sqref="D2:D1048576" xr:uid="{4F053575-6202-4BAA-9DFB-F5DCB5B7BB5A}">
      <formula1>"Epic,Process,Story,Story,Task,Rendicontazione"</formula1>
    </dataValidation>
  </dataValidation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F8C1811CFC2849BB075804AB038327" ma:contentTypeVersion="6" ma:contentTypeDescription="Creare un nuovo documento." ma:contentTypeScope="" ma:versionID="1b230245fb59b6fdb424d6c54a916aab">
  <xsd:schema xmlns:xsd="http://www.w3.org/2001/XMLSchema" xmlns:xs="http://www.w3.org/2001/XMLSchema" xmlns:p="http://schemas.microsoft.com/office/2006/metadata/properties" xmlns:ns2="353cd2e2-1c11-4b5c-bfac-90f4034b3f06" xmlns:ns3="c99eb337-000b-4878-a4ff-8330c82a1935" xmlns:ns4="f222903d-8679-43da-9a9c-620ddc805fc2" xmlns:ns5="7caceaca-20ef-42d2-b1d4-1dae242b6e79" targetNamespace="http://schemas.microsoft.com/office/2006/metadata/properties" ma:root="true" ma:fieldsID="7f283c8b4b9c24d4965e8c952d86eacf" ns2:_="" ns3:_="" ns4:_="" ns5:_="">
    <xsd:import namespace="353cd2e2-1c11-4b5c-bfac-90f4034b3f06"/>
    <xsd:import namespace="c99eb337-000b-4878-a4ff-8330c82a1935"/>
    <xsd:import namespace="f222903d-8679-43da-9a9c-620ddc805fc2"/>
    <xsd:import namespace="7caceaca-20ef-42d2-b1d4-1dae242b6e7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Flow_SignoffStatus" minOccurs="0"/>
                <xsd:element ref="ns3:MediaServiceObjectDetectorVersions" minOccurs="0"/>
                <xsd:element ref="ns4:lcf76f155ced4ddcb4097134ff3c332f" minOccurs="0"/>
                <xsd:element ref="ns5:TaxCatchAll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cd2e2-1c11-4b5c-bfac-90f4034b3f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b337-000b-4878-a4ff-8330c82a19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tato consenso" ma:internalName="Stato_x0020_consenso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22903d-8679-43da-9a9c-620ddc805fc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4" nillable="true" ma:taxonomy="true" ma:internalName="lcf76f155ced4ddcb4097134ff3c332f" ma:taxonomyFieldName="MediaServiceImageTags" ma:displayName="Tag immagine" ma:readOnly="false" ma:fieldId="{5cf76f15-5ced-4ddc-b409-7134ff3c332f}" ma:taxonomyMulti="true" ma:sspId="5db8b724-95e9-4df4-b731-ff17bccab2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ceaca-20ef-42d2-b1d4-1dae242b6e79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7e1ba174-3a72-45b4-ac8b-44549940dce1}" ma:internalName="TaxCatchAll" ma:showField="CatchAllData" ma:web="7caceaca-20ef-42d2-b1d4-1dae242b6e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22903d-8679-43da-9a9c-620ddc805fc2">
      <Terms xmlns="http://schemas.microsoft.com/office/infopath/2007/PartnerControls"/>
    </lcf76f155ced4ddcb4097134ff3c332f>
    <TaxCatchAll xmlns="7caceaca-20ef-42d2-b1d4-1dae242b6e79" xsi:nil="true"/>
    <_Flow_SignoffStatus xmlns="c99eb337-000b-4878-a4ff-8330c82a1935" xsi:nil="true"/>
  </documentManagement>
</p:properties>
</file>

<file path=customXml/itemProps1.xml><?xml version="1.0" encoding="utf-8"?>
<ds:datastoreItem xmlns:ds="http://schemas.openxmlformats.org/officeDocument/2006/customXml" ds:itemID="{19D900B3-5897-4BAC-BF37-24263A7A6A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4F8238-26ED-46DF-80B3-E12CF88EEF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cd2e2-1c11-4b5c-bfac-90f4034b3f06"/>
    <ds:schemaRef ds:uri="c99eb337-000b-4878-a4ff-8330c82a1935"/>
    <ds:schemaRef ds:uri="f222903d-8679-43da-9a9c-620ddc805fc2"/>
    <ds:schemaRef ds:uri="7caceaca-20ef-42d2-b1d4-1dae242b6e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E4D032-1BCF-44EC-9190-A555195FA184}">
  <ds:schemaRefs>
    <ds:schemaRef ds:uri="http://schemas.microsoft.com/office/2006/metadata/properties"/>
    <ds:schemaRef ds:uri="http://schemas.microsoft.com/office/infopath/2007/PartnerControls"/>
    <ds:schemaRef ds:uri="f222903d-8679-43da-9a9c-620ddc805fc2"/>
    <ds:schemaRef ds:uri="7caceaca-20ef-42d2-b1d4-1dae242b6e79"/>
    <ds:schemaRef ds:uri="c99eb337-000b-4878-a4ff-8330c82a19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Progetto Kiron CDG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Vivaldini</dc:creator>
  <cp:keywords/>
  <dc:description/>
  <cp:lastModifiedBy>Serena Benizzi</cp:lastModifiedBy>
  <cp:revision/>
  <dcterms:created xsi:type="dcterms:W3CDTF">2024-10-01T16:43:29Z</dcterms:created>
  <dcterms:modified xsi:type="dcterms:W3CDTF">2026-06-26T12:03:45Z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0x01010021F8C1811CFC2849BB075804AB038327</vt:lpwstr>
  </property>
  <property fmtid="{D5CDD505-2E9C-101B-9397-08002B2CF9AE}" pid="3" name="MediaServiceImageTags">
    <vt:lpwstr/>
  </property>
</Properties>
</file>