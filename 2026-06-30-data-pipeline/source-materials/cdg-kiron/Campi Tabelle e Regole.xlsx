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xtgroup.sharepoint.com/sites/Novigo-Sharepoint/FileServerNovigo/Sales/offerte Novigo TMP/OFF_Kiron/2025_KIR_004 - CDG/Analisi funzionale/"/>
    </mc:Choice>
  </mc:AlternateContent>
  <xr:revisionPtr revIDLastSave="1147" documentId="11_6C7D24503FA9453CFEFC8F3A8D7903A2D8E2B721" xr6:coauthVersionLast="47" xr6:coauthVersionMax="47" xr10:uidLastSave="{A948242B-3FEB-495C-8507-D76417A2B5AD}"/>
  <bookViews>
    <workbookView xWindow="28665" yWindow="-135" windowWidth="38670" windowHeight="21150" firstSheet="6" activeTab="10" xr2:uid="{00000000-000D-0000-FFFF-FFFF00000000}"/>
  </bookViews>
  <sheets>
    <sheet name="Convenzioni codifica" sheetId="2" r:id="rId1"/>
    <sheet name="Dizionario campi" sheetId="3" r:id="rId2"/>
    <sheet name="TG1-Anagrafica Prodotti" sheetId="4" r:id="rId3"/>
    <sheet name="TG2-Anarafica Istituti" sheetId="5" r:id="rId4"/>
    <sheet name="TG3-Anagrafica Reti-Agenti" sheetId="6" r:id="rId5"/>
    <sheet name="TG4-Mappatura bilancio" sheetId="7" r:id="rId6"/>
    <sheet name="TG5-Elenco voci con standard" sheetId="8" r:id="rId7"/>
    <sheet name="TG5.1-Regole standard" sheetId="13" r:id="rId8"/>
    <sheet name="TG6-Dati propedeutici forecast" sheetId="9" r:id="rId9"/>
    <sheet name="RIB-Elenco voci con regole rib" sheetId="11" r:id="rId10"/>
    <sheet name="RIB.1-Regole ribaltamento" sheetId="14" r:id="rId11"/>
    <sheet name="STEP-Elenco voci regole proiez" sheetId="12" r:id="rId12"/>
  </sheets>
  <definedNames>
    <definedName name="_xlnm._FilterDatabase" localSheetId="1" hidden="1">'Dizionario campi'!$A$1:$C$45</definedName>
    <definedName name="_xlnm._FilterDatabase" localSheetId="9" hidden="1">'RIB-Elenco voci con regole rib'!$A$1:$F$18</definedName>
    <definedName name="_xlnm._FilterDatabase" localSheetId="5" hidden="1">'TG4-Mappatura bilancio'!$A$1:$H$154</definedName>
    <definedName name="_xlnm._FilterDatabase" localSheetId="6" hidden="1">'TG5-Elenco voci con standard'!$A$1:$I$80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7" i="9"/>
  <c r="A6" i="9"/>
  <c r="A5" i="9"/>
  <c r="A4" i="9"/>
  <c r="A3" i="9"/>
  <c r="A2" i="9"/>
  <c r="A2" i="6"/>
  <c r="A4" i="5"/>
  <c r="A3" i="5"/>
  <c r="A2" i="5"/>
  <c r="A3" i="4"/>
  <c r="A4" i="4"/>
  <c r="A5" i="4"/>
  <c r="A6" i="4"/>
  <c r="A2" i="4"/>
</calcChain>
</file>

<file path=xl/sharedStrings.xml><?xml version="1.0" encoding="utf-8"?>
<sst xmlns="http://schemas.openxmlformats.org/spreadsheetml/2006/main" count="2451" uniqueCount="719">
  <si>
    <t>Prefisso codifica</t>
  </si>
  <si>
    <t>Significato</t>
  </si>
  <si>
    <t>INF#</t>
  </si>
  <si>
    <t>Input estratti da Zucchetti Infinity (Co.Ge.).</t>
  </si>
  <si>
    <t>E / R / RA / C / CS / I</t>
  </si>
  <si>
    <t>Codici voce del Conto Economico gestionale.</t>
  </si>
  <si>
    <t>C20</t>
  </si>
  <si>
    <t>Input estratti da Campus 2.0 (Tool Incentive).</t>
  </si>
  <si>
    <t>TG#</t>
  </si>
  <si>
    <t>Tabelle guida CDG.</t>
  </si>
  <si>
    <t>P#</t>
  </si>
  <si>
    <t>Processi (Actual / Forecast).</t>
  </si>
  <si>
    <t>O1#</t>
  </si>
  <si>
    <t>Output del modulo.</t>
  </si>
  <si>
    <t>RIB#</t>
  </si>
  <si>
    <t>Regole di ribaltamento</t>
  </si>
  <si>
    <t>STEP#</t>
  </si>
  <si>
    <t>Step delle regole di proiezione Forecast</t>
  </si>
  <si>
    <t>Codice campo</t>
  </si>
  <si>
    <t>Campo</t>
  </si>
  <si>
    <t>Fonte</t>
  </si>
  <si>
    <t>D1</t>
  </si>
  <si>
    <t>Data erogazione</t>
  </si>
  <si>
    <t>Campus</t>
  </si>
  <si>
    <t>D2</t>
  </si>
  <si>
    <t>Campus / Infinity</t>
  </si>
  <si>
    <t>D3</t>
  </si>
  <si>
    <t>D4</t>
  </si>
  <si>
    <t>Categoria prodotto</t>
  </si>
  <si>
    <t>D5</t>
  </si>
  <si>
    <t>Tipo tasso</t>
  </si>
  <si>
    <t>D6</t>
  </si>
  <si>
    <t>Istituto</t>
  </si>
  <si>
    <t>D7</t>
  </si>
  <si>
    <t>Collaboratore</t>
  </si>
  <si>
    <t>D8</t>
  </si>
  <si>
    <t>Gestore</t>
  </si>
  <si>
    <t>D9</t>
  </si>
  <si>
    <t>Tutor</t>
  </si>
  <si>
    <t>D10</t>
  </si>
  <si>
    <t>Senior</t>
  </si>
  <si>
    <t>D11</t>
  </si>
  <si>
    <t>Responsabile area</t>
  </si>
  <si>
    <t>D12</t>
  </si>
  <si>
    <t>Agenzia Kiron</t>
  </si>
  <si>
    <t>D13</t>
  </si>
  <si>
    <t>Importo</t>
  </si>
  <si>
    <t>D14</t>
  </si>
  <si>
    <t>Compagnia</t>
  </si>
  <si>
    <t>D15</t>
  </si>
  <si>
    <t>Conto contabile</t>
  </si>
  <si>
    <t>Infinity</t>
  </si>
  <si>
    <t>D16</t>
  </si>
  <si>
    <t>Voce</t>
  </si>
  <si>
    <t>D17</t>
  </si>
  <si>
    <t>D19</t>
  </si>
  <si>
    <t>Data di riferimento</t>
  </si>
  <si>
    <t>Step</t>
  </si>
  <si>
    <t>Aggregazione</t>
  </si>
  <si>
    <t>Ricavi</t>
  </si>
  <si>
    <t>Payin clienti (solo Mutuo)</t>
  </si>
  <si>
    <t>Erogato per prodotto Mutuo (per istituto, per anno)</t>
  </si>
  <si>
    <t>% crescita erogato Mutuo; incidenza % payin cliente / erogato; per i primi “N” istituti: share e redditività cliente per istituto</t>
  </si>
  <si>
    <t>Redditività cliente applicata all'erogato previsto; raffinabile per istituto sui primi “N”.</t>
  </si>
  <si>
    <t>Payin istituti (tutti i prodotti)</t>
  </si>
  <si>
    <t>Erogato per prodotto (per istituto, per anno)</t>
  </si>
  <si>
    <t>% crescita erogato per prodotto; incidenza % payin istituto / erogato; per Mutuo e Prestiti: share e redditività istituto per i primi 8</t>
  </si>
  <si>
    <t>Redditività istituto applicata all'erogato previsto; raffinabile per istituto su Mutuo e Prestiti.</t>
  </si>
  <si>
    <t>Rappel (mediaz. creditizia)</t>
  </si>
  <si>
    <t>Valore actual N-1 per prodotto</t>
  </si>
  <si>
    <t>% crescita per singolo prodotto</t>
  </si>
  <si>
    <t>Applicazione della % di crescita definita al valore actual dell'esercizio precedente.</t>
  </si>
  <si>
    <t>Ricavi progetto giovani</t>
  </si>
  <si>
    <t>Altri Ricavi</t>
  </si>
  <si>
    <t>Altri ricavi (concessione marchio, plusvalenze, rimborsi, ecc.)</t>
  </si>
  <si>
    <t>Payin totale per prodotto (da step 1–2)</t>
  </si>
  <si>
    <t>Nessun parametro autonomo</t>
  </si>
  <si>
    <t>Seguono la crescita % del payin totale per prodotto — aggiornamento in cascata dagli step 1–2.</t>
  </si>
  <si>
    <t>Costi Diretti</t>
  </si>
  <si>
    <t>Payout (tutti i prodotti)</t>
  </si>
  <si>
    <t>Payin totale per prodotto / istituto (da step 1–2)</t>
  </si>
  <si>
    <t>Cresce delle stesse percentuali del payin totale per prodotto / istituto — cascata da step 1–2.</t>
  </si>
  <si>
    <t>Servizi di certificazione documentale (solo Mutuo)</t>
  </si>
  <si>
    <t>Erogato Mutuo (da step 1)</t>
  </si>
  <si>
    <t>Segue la crescita % dell'erogato Mutuo — cascata da step 1.</t>
  </si>
  <si>
    <t>Enasarco (mediaz. creditizia)</t>
  </si>
  <si>
    <t>Payin totale mediaz. creditizia (da step 1–2, escluso Assicurazione)</t>
  </si>
  <si>
    <t>Cresce proporzionalmente al payin di mediazione creditizia — cascata da step 1–2.</t>
  </si>
  <si>
    <t>FIRR (mediaz. creditizia)</t>
  </si>
  <si>
    <t>Aliquota fissa 1% (convenzionale, aggiornabile)</t>
  </si>
  <si>
    <t>Pari all'1% del payin di mediazione creditizia dell'anno in corso.</t>
  </si>
  <si>
    <t>Incentivi passivi</t>
  </si>
  <si>
    <t>Consulenza d'area</t>
  </si>
  <si>
    <t>Payout progetto giovani</t>
  </si>
  <si>
    <t>Coordinamento rete</t>
  </si>
  <si>
    <t>Actual N-1 e N-2 per prodotto; payin totale N-1, N-2 e anno in corso per prodotto (da step 1–2)</t>
  </si>
  <si>
    <t>Nessun parametro: incidenza calcolata dai dati storici</t>
  </si>
  <si>
    <t>Incidenza = (coordinamento N-1 + N-2) / (payin N-1 + N-2) per prodotto, applicata al payin corrente.</t>
  </si>
  <si>
    <t>Costi di Struttura</t>
  </si>
  <si>
    <t>Tutte le voci di struttura (prestazioni, spese generali, locazione, IT, personale, quote assoc., IVA indetr., ammortamenti, minusvalenze)</t>
  </si>
  <si>
    <t>Valore actual di ciascuna voce N-1</t>
  </si>
  <si>
    <t>% variazione per voce o sottovoce (prevalente su raggruppamento se definita a livello analitico)</t>
  </si>
  <si>
    <t>Ciascuna voce varia per la % definita; la % di sottovoce prevale su quella del raggruppamento.</t>
  </si>
  <si>
    <t>Imposte</t>
  </si>
  <si>
    <t>Imposte sul reddito</t>
  </si>
  <si>
    <t>EBIT dell'anno in corso (risultante dal CE dopo tutte le voci precedenti, al netto di minusvalenze e rettifiche)</t>
  </si>
  <si>
    <t>Aliquota convenzionale 28% (aggiornabile su indicazione Direzione Kiron)</t>
  </si>
  <si>
    <t>Pari al 28% dell'EBIT dell'anno in corso.</t>
  </si>
  <si>
    <t>Codice voce</t>
  </si>
  <si>
    <t>Descrizione</t>
  </si>
  <si>
    <t>Regola di ribaltamento</t>
  </si>
  <si>
    <t>Cod. regola</t>
  </si>
  <si>
    <t>E1</t>
  </si>
  <si>
    <t>Erogato</t>
  </si>
  <si>
    <t>-</t>
  </si>
  <si>
    <t>R1</t>
  </si>
  <si>
    <t>Provvigioni attive da clienti</t>
  </si>
  <si>
    <t>Payin da clienti</t>
  </si>
  <si>
    <t>—</t>
  </si>
  <si>
    <t>R2</t>
  </si>
  <si>
    <t>Provvigioni attive da istituti</t>
  </si>
  <si>
    <t>Payin da istituti</t>
  </si>
  <si>
    <t>R3</t>
  </si>
  <si>
    <t>Rappel</t>
  </si>
  <si>
    <t>Commissione attiva aggiuntiva</t>
  </si>
  <si>
    <t>RIB1</t>
  </si>
  <si>
    <t>R4</t>
  </si>
  <si>
    <t>Ricavi compartecipazione progetto giovani</t>
  </si>
  <si>
    <t>Ricavi da progetto giovani</t>
  </si>
  <si>
    <t>RIB2</t>
  </si>
  <si>
    <t>RA1</t>
  </si>
  <si>
    <t>Altri ricavi</t>
  </si>
  <si>
    <t>Concessione marchio, contributi, plusvalenze, sopravvenienze, ecc.</t>
  </si>
  <si>
    <t>In base al totale payin</t>
  </si>
  <si>
    <t>RIB3</t>
  </si>
  <si>
    <t>C1</t>
  </si>
  <si>
    <t>Enasarco</t>
  </si>
  <si>
    <t>Contributi previdenziali agenti</t>
  </si>
  <si>
    <t>Payout med. creditizia</t>
  </si>
  <si>
    <t>RIB4</t>
  </si>
  <si>
    <t>C2</t>
  </si>
  <si>
    <t>FIRR</t>
  </si>
  <si>
    <t>Indennità di fine rapporto agenti</t>
  </si>
  <si>
    <t>C3</t>
  </si>
  <si>
    <t>Incentivi</t>
  </si>
  <si>
    <t>Campus 2.0</t>
  </si>
  <si>
    <t>C4</t>
  </si>
  <si>
    <t>Provvigioni passive (Payout)</t>
  </si>
  <si>
    <t>Commissioni passive v/agenti</t>
  </si>
  <si>
    <t>C5</t>
  </si>
  <si>
    <t>Servizi certificazione documentale</t>
  </si>
  <si>
    <t>Costi Due diligence da Genio</t>
  </si>
  <si>
    <t>Erogato mutuo</t>
  </si>
  <si>
    <t>RIB5</t>
  </si>
  <si>
    <t>C6</t>
  </si>
  <si>
    <t>Altri costi di produzione 1</t>
  </si>
  <si>
    <t>Consulenza d'area e incentivi consulenza credito</t>
  </si>
  <si>
    <t>Payin totale area</t>
  </si>
  <si>
    <t>RIB6</t>
  </si>
  <si>
    <t>C7</t>
  </si>
  <si>
    <t>Altri costi di produzione 2</t>
  </si>
  <si>
    <t>Controllo e coordinamento rete (Senior)</t>
  </si>
  <si>
    <t>C8</t>
  </si>
  <si>
    <t>Altri costi di produzione 3</t>
  </si>
  <si>
    <t>Rimborsi agenti</t>
  </si>
  <si>
    <t>C9</t>
  </si>
  <si>
    <t>Altri costi di produzione 4</t>
  </si>
  <si>
    <t>Provv. passive progetto giovani</t>
  </si>
  <si>
    <t>CS1–CS10</t>
  </si>
  <si>
    <t>Costi di struttura</t>
  </si>
  <si>
    <t>Prestazioni e altre consulenze, G&amp;A, loc. e materiali, internet e licenze, costi personale, quote assoc., IVA indetr., amm.ti, minusvalenze e rettifiche valori fin.</t>
  </si>
  <si>
    <t>[DA DEFINIRE] – criterio di ribaltamento su Prodotto/Istituto da concordare con Kiron (*)</t>
  </si>
  <si>
    <t>I1</t>
  </si>
  <si>
    <t>Stima</t>
  </si>
  <si>
    <t>28% EBIT</t>
  </si>
  <si>
    <t>Tipologia tasso</t>
  </si>
  <si>
    <t>ID Istituto</t>
  </si>
  <si>
    <t>Città istituto</t>
  </si>
  <si>
    <t>Riclassificazione gestionale</t>
  </si>
  <si>
    <t>ID Prodotto</t>
  </si>
  <si>
    <t>Codice voce gestionale</t>
  </si>
  <si>
    <t>T5001010</t>
  </si>
  <si>
    <t>T5001020</t>
  </si>
  <si>
    <t>T5001030</t>
  </si>
  <si>
    <t>T5001040</t>
  </si>
  <si>
    <t>T5101001</t>
  </si>
  <si>
    <t>T5101002</t>
  </si>
  <si>
    <t>T5101003</t>
  </si>
  <si>
    <t>T5101005</t>
  </si>
  <si>
    <t>T5101006</t>
  </si>
  <si>
    <t>T5101007</t>
  </si>
  <si>
    <t>T5101008</t>
  </si>
  <si>
    <t>T5101009</t>
  </si>
  <si>
    <t>T5101010</t>
  </si>
  <si>
    <t>T5101011</t>
  </si>
  <si>
    <t>T5101012</t>
  </si>
  <si>
    <t>T5101013</t>
  </si>
  <si>
    <t>T5101014</t>
  </si>
  <si>
    <t>T5101020</t>
  </si>
  <si>
    <t>T5101021</t>
  </si>
  <si>
    <t>T5101022</t>
  </si>
  <si>
    <t>T5101030</t>
  </si>
  <si>
    <t>T5102004</t>
  </si>
  <si>
    <t>T5102005</t>
  </si>
  <si>
    <t>T5102006</t>
  </si>
  <si>
    <t>T5102007</t>
  </si>
  <si>
    <t>T5102012</t>
  </si>
  <si>
    <t>T5102020</t>
  </si>
  <si>
    <t>T5102080</t>
  </si>
  <si>
    <t>T5102086</t>
  </si>
  <si>
    <t>T5102088</t>
  </si>
  <si>
    <t>T5102090</t>
  </si>
  <si>
    <t>T5102100</t>
  </si>
  <si>
    <t>T5102103</t>
  </si>
  <si>
    <t>T5102105</t>
  </si>
  <si>
    <t>T5102120</t>
  </si>
  <si>
    <t>T5102130</t>
  </si>
  <si>
    <t>T5102151</t>
  </si>
  <si>
    <t>T5102160</t>
  </si>
  <si>
    <t>T5102163</t>
  </si>
  <si>
    <t>T5102165</t>
  </si>
  <si>
    <t>T5102167</t>
  </si>
  <si>
    <t>T5102168</t>
  </si>
  <si>
    <t>T5102169</t>
  </si>
  <si>
    <t>T5102185</t>
  </si>
  <si>
    <t>T5102190</t>
  </si>
  <si>
    <t>T5102224</t>
  </si>
  <si>
    <t>T5102230</t>
  </si>
  <si>
    <t>T5102231</t>
  </si>
  <si>
    <t>T5102232</t>
  </si>
  <si>
    <t>T5102234</t>
  </si>
  <si>
    <t>T5102260</t>
  </si>
  <si>
    <t>T5103001</t>
  </si>
  <si>
    <t>T5103010</t>
  </si>
  <si>
    <t>T5103012</t>
  </si>
  <si>
    <t>T5103014</t>
  </si>
  <si>
    <t>T5103016</t>
  </si>
  <si>
    <t>T5124030</t>
  </si>
  <si>
    <t>T5124035</t>
  </si>
  <si>
    <t>T5125012</t>
  </si>
  <si>
    <t>T5125013</t>
  </si>
  <si>
    <t>T5125016</t>
  </si>
  <si>
    <t>T5125021</t>
  </si>
  <si>
    <t>T5125022</t>
  </si>
  <si>
    <t>T5125191</t>
  </si>
  <si>
    <t>T5125192</t>
  </si>
  <si>
    <t>T5125193</t>
  </si>
  <si>
    <t>T5201001</t>
  </si>
  <si>
    <t>T5201010</t>
  </si>
  <si>
    <t>T5201020</t>
  </si>
  <si>
    <t>T5201021</t>
  </si>
  <si>
    <t>T5201040</t>
  </si>
  <si>
    <t>T5201041</t>
  </si>
  <si>
    <t>T5201042</t>
  </si>
  <si>
    <t>T5301010</t>
  </si>
  <si>
    <t>T5301016</t>
  </si>
  <si>
    <t>T5302010</t>
  </si>
  <si>
    <t>T5302016</t>
  </si>
  <si>
    <t>T5302020</t>
  </si>
  <si>
    <t>T5302030</t>
  </si>
  <si>
    <t>T5302035</t>
  </si>
  <si>
    <t>T5302040</t>
  </si>
  <si>
    <t>T5302050</t>
  </si>
  <si>
    <t>T5302060</t>
  </si>
  <si>
    <t>T5302080</t>
  </si>
  <si>
    <t>T5303001</t>
  </si>
  <si>
    <t>T5305001</t>
  </si>
  <si>
    <t>T5401008</t>
  </si>
  <si>
    <t>T5401013</t>
  </si>
  <si>
    <t>T5402004</t>
  </si>
  <si>
    <t>T5402005</t>
  </si>
  <si>
    <t>T5402007</t>
  </si>
  <si>
    <t>T5402009</t>
  </si>
  <si>
    <t>T5404010</t>
  </si>
  <si>
    <t>T5801001</t>
  </si>
  <si>
    <t>T5801002</t>
  </si>
  <si>
    <t>T5801005</t>
  </si>
  <si>
    <t>T5801007</t>
  </si>
  <si>
    <t>T5801008</t>
  </si>
  <si>
    <t>T5801009</t>
  </si>
  <si>
    <t>T5801010</t>
  </si>
  <si>
    <t>T5801011</t>
  </si>
  <si>
    <t>T5801012</t>
  </si>
  <si>
    <t>T5801013</t>
  </si>
  <si>
    <t>T5801017</t>
  </si>
  <si>
    <t>T5801018</t>
  </si>
  <si>
    <t>T5801021</t>
  </si>
  <si>
    <t>T5802001</t>
  </si>
  <si>
    <t>T5802003</t>
  </si>
  <si>
    <t>T5802004</t>
  </si>
  <si>
    <t>T5802005</t>
  </si>
  <si>
    <t>T5802007</t>
  </si>
  <si>
    <t>T5802011</t>
  </si>
  <si>
    <t>T5802012</t>
  </si>
  <si>
    <t>T5802014</t>
  </si>
  <si>
    <t>T5802017</t>
  </si>
  <si>
    <t>T5802022</t>
  </si>
  <si>
    <t>T5901010</t>
  </si>
  <si>
    <t>T5901080</t>
  </si>
  <si>
    <t>T5901130</t>
  </si>
  <si>
    <t>T5901300</t>
  </si>
  <si>
    <t>T6001500</t>
  </si>
  <si>
    <t>T6501001</t>
  </si>
  <si>
    <t>T6501002</t>
  </si>
  <si>
    <t>T6501004</t>
  </si>
  <si>
    <t>T8016002</t>
  </si>
  <si>
    <t>T8016003</t>
  </si>
  <si>
    <t>T8201001</t>
  </si>
  <si>
    <t>T8201002</t>
  </si>
  <si>
    <t>T8201003</t>
  </si>
  <si>
    <t>T8201004</t>
  </si>
  <si>
    <t>T8201007</t>
  </si>
  <si>
    <t>T8201008</t>
  </si>
  <si>
    <t>T8201009</t>
  </si>
  <si>
    <t>T8201012</t>
  </si>
  <si>
    <t>T8201013</t>
  </si>
  <si>
    <t>T8201019</t>
  </si>
  <si>
    <t>T8401001</t>
  </si>
  <si>
    <t>T8401002</t>
  </si>
  <si>
    <t>T8401003</t>
  </si>
  <si>
    <t>T8401004</t>
  </si>
  <si>
    <t>T8401005</t>
  </si>
  <si>
    <t>T8501500</t>
  </si>
  <si>
    <t>T5403010</t>
  </si>
  <si>
    <t>T5124010</t>
  </si>
  <si>
    <t>T5125190</t>
  </si>
  <si>
    <t>T8015001</t>
  </si>
  <si>
    <t>T5124020</t>
  </si>
  <si>
    <t>T8015002</t>
  </si>
  <si>
    <t>CS3.5</t>
  </si>
  <si>
    <t>CS3.6</t>
  </si>
  <si>
    <t>CS3.7</t>
  </si>
  <si>
    <t>CS3.8</t>
  </si>
  <si>
    <t>CS2.1</t>
  </si>
  <si>
    <t>CS2.2</t>
  </si>
  <si>
    <t>CS2.3</t>
  </si>
  <si>
    <t>CS2.4</t>
  </si>
  <si>
    <t>CS2.5</t>
  </si>
  <si>
    <t>CS2.6</t>
  </si>
  <si>
    <t>CS2.7</t>
  </si>
  <si>
    <t>CS1.1</t>
  </si>
  <si>
    <t>CS2.24</t>
  </si>
  <si>
    <t>CS2.21</t>
  </si>
  <si>
    <t>CS2.22</t>
  </si>
  <si>
    <t>CS2.23</t>
  </si>
  <si>
    <t>CS1.4</t>
  </si>
  <si>
    <t>CS2.9</t>
  </si>
  <si>
    <t>CS2.10</t>
  </si>
  <si>
    <t>CS2.17</t>
  </si>
  <si>
    <t>CS2.11</t>
  </si>
  <si>
    <t>CS2.16</t>
  </si>
  <si>
    <t>CS2.12</t>
  </si>
  <si>
    <t>CS2.19</t>
  </si>
  <si>
    <t>CS2.13</t>
  </si>
  <si>
    <t>CS2.18</t>
  </si>
  <si>
    <t>CS2.15</t>
  </si>
  <si>
    <t>CS2.14</t>
  </si>
  <si>
    <t>C9.1</t>
  </si>
  <si>
    <t>C7.1</t>
  </si>
  <si>
    <t>CS1.3</t>
  </si>
  <si>
    <t>C1.1</t>
  </si>
  <si>
    <t>C2.1</t>
  </si>
  <si>
    <t>CS1.2</t>
  </si>
  <si>
    <t>C6.1</t>
  </si>
  <si>
    <t>CS4.2</t>
  </si>
  <si>
    <t>CS3.1</t>
  </si>
  <si>
    <t>CS3.2</t>
  </si>
  <si>
    <t>CS4.1</t>
  </si>
  <si>
    <t>CS3.3</t>
  </si>
  <si>
    <t>CS3.4</t>
  </si>
  <si>
    <t>CS5.1</t>
  </si>
  <si>
    <t>CS5.2</t>
  </si>
  <si>
    <t>CS5.3</t>
  </si>
  <si>
    <t>CS8.1</t>
  </si>
  <si>
    <t>CS9.1</t>
  </si>
  <si>
    <t>CS8.2</t>
  </si>
  <si>
    <t>CS6.1</t>
  </si>
  <si>
    <t>CS6.7</t>
  </si>
  <si>
    <t>CS6.3</t>
  </si>
  <si>
    <t>CS6.6</t>
  </si>
  <si>
    <t>CS6.4</t>
  </si>
  <si>
    <t>CS6.5</t>
  </si>
  <si>
    <t>CS3.10</t>
  </si>
  <si>
    <t>CS7.1</t>
  </si>
  <si>
    <t>RA1.14</t>
  </si>
  <si>
    <t>CS10.1</t>
  </si>
  <si>
    <t>CS10.2</t>
  </si>
  <si>
    <t>I1.1</t>
  </si>
  <si>
    <t>I1.2</t>
  </si>
  <si>
    <t>I1.3</t>
  </si>
  <si>
    <t>R4.1</t>
  </si>
  <si>
    <t>RA1.1</t>
  </si>
  <si>
    <t>RA1.2</t>
  </si>
  <si>
    <t>RA1.6</t>
  </si>
  <si>
    <t>RA1.4</t>
  </si>
  <si>
    <t>RA1.8</t>
  </si>
  <si>
    <t>RA1.5</t>
  </si>
  <si>
    <t>RA1.3</t>
  </si>
  <si>
    <t>RA1.13</t>
  </si>
  <si>
    <t>RA1.11</t>
  </si>
  <si>
    <t>RA1.12</t>
  </si>
  <si>
    <t>C4.1</t>
  </si>
  <si>
    <t>C8.1</t>
  </si>
  <si>
    <t>C5.1</t>
  </si>
  <si>
    <t>Costi di struttura 3</t>
  </si>
  <si>
    <t>Costi di struttura 2</t>
  </si>
  <si>
    <t>Costi di struttura 1</t>
  </si>
  <si>
    <t>Costi di struttura 4</t>
  </si>
  <si>
    <t>Costi di struttura 5</t>
  </si>
  <si>
    <t>Costi di struttura 8</t>
  </si>
  <si>
    <t>Costi di struttura 9</t>
  </si>
  <si>
    <t>Costi di struttura 6</t>
  </si>
  <si>
    <t>Costi di struttura 7</t>
  </si>
  <si>
    <t>Costi di struttura 10</t>
  </si>
  <si>
    <t>Provvigioni passive</t>
  </si>
  <si>
    <t>Servizi di certificazione documentale</t>
  </si>
  <si>
    <t>Payin istituto</t>
  </si>
  <si>
    <t>Payin clienti</t>
  </si>
  <si>
    <t>Costi struttura</t>
  </si>
  <si>
    <t>Costi</t>
  </si>
  <si>
    <t>Cancelleria</t>
  </si>
  <si>
    <t>Materiale di consumo</t>
  </si>
  <si>
    <t>Modulistica e stampati</t>
  </si>
  <si>
    <t>Materiali e accessori</t>
  </si>
  <si>
    <t>Compenso amministratori e sindaci</t>
  </si>
  <si>
    <t>Contributi Co.Co.Co.</t>
  </si>
  <si>
    <t>Consulenze tecniche</t>
  </si>
  <si>
    <t>Consulenze legali</t>
  </si>
  <si>
    <t>Consulenze fiscali, amministrative ed elaborazione paghe</t>
  </si>
  <si>
    <t>Spese per revisione</t>
  </si>
  <si>
    <t>Prestazioni notarili</t>
  </si>
  <si>
    <t>Prestazioni di terzi</t>
  </si>
  <si>
    <t>Spese diverse</t>
  </si>
  <si>
    <t>Prestazioni amministrative oneri da società gruppo</t>
  </si>
  <si>
    <t>Compensi deposito e gestione marchio</t>
  </si>
  <si>
    <t>Compensi Per Audit</t>
  </si>
  <si>
    <t>Consulenze Tecnico-Commerciali</t>
  </si>
  <si>
    <t>Assicurazione automezzi, carburanti, posteggio automezzi</t>
  </si>
  <si>
    <t>Spese telefoniche</t>
  </si>
  <si>
    <t>Trasferte e viaggi</t>
  </si>
  <si>
    <t>Spese postali e di trasporto e recapito documenti</t>
  </si>
  <si>
    <t>Costi per servizi informatici</t>
  </si>
  <si>
    <t>Spese bancarie e commissioni</t>
  </si>
  <si>
    <t>Compensi in natura</t>
  </si>
  <si>
    <t>Spese assicurative</t>
  </si>
  <si>
    <t>Visure, informazioni commerciali</t>
  </si>
  <si>
    <t>Propaganda, pubblicità e rappresentanza</t>
  </si>
  <si>
    <t>Spese manutenzione ordinaria</t>
  </si>
  <si>
    <t xml:space="preserve">Provvigioni passive progetto giovani </t>
  </si>
  <si>
    <t>Attività Controllo/Coordinamento Rete</t>
  </si>
  <si>
    <t xml:space="preserve">Prestazioni di terzi </t>
  </si>
  <si>
    <t xml:space="preserve">Formazione e aggiornamento professionale </t>
  </si>
  <si>
    <t xml:space="preserve">Servizi per gestione pratiche </t>
  </si>
  <si>
    <t>Utilizzo licenze e marchi</t>
  </si>
  <si>
    <t>Canone di locazione uffici</t>
  </si>
  <si>
    <t>Spese condominiali immobili</t>
  </si>
  <si>
    <t>Canoni e domini internet</t>
  </si>
  <si>
    <t>Noleggio beni di terzi</t>
  </si>
  <si>
    <t>Spese servizi noleggio automezzi</t>
  </si>
  <si>
    <t>Salari e stipendi</t>
  </si>
  <si>
    <t>Oneri sociali</t>
  </si>
  <si>
    <t>Trattamento di fine rapporto</t>
  </si>
  <si>
    <t>Ammortamento delle immobilizzazioni immateriali</t>
  </si>
  <si>
    <t>Ammortamento delle immobilizzazioni materiali</t>
  </si>
  <si>
    <t>Svalutazioni dei crediti compresi nell'attivo circolante</t>
  </si>
  <si>
    <t>Valori bollati</t>
  </si>
  <si>
    <t>Altri oneri di gestione</t>
  </si>
  <si>
    <t>Quote associative</t>
  </si>
  <si>
    <t>Altre imposte e tasse</t>
  </si>
  <si>
    <t>Minusvalenze alienazione/dismissione beni propri</t>
  </si>
  <si>
    <t>Spese di rappresentanza</t>
  </si>
  <si>
    <t>Spese indeducibili</t>
  </si>
  <si>
    <t>IVA indetraibile</t>
  </si>
  <si>
    <t>Altri proventi e oneri finanziari</t>
  </si>
  <si>
    <t>Minusvalenze da cessione titoli/fondi</t>
  </si>
  <si>
    <t>Rettifiche di valore di attività e passività finanziarie</t>
  </si>
  <si>
    <t>IRES dell'esercizio</t>
  </si>
  <si>
    <t>IRAP dell'esercizio</t>
  </si>
  <si>
    <t>Imposte anticipate</t>
  </si>
  <si>
    <t xml:space="preserve">Ricavi compartecipazione progetto giovani </t>
  </si>
  <si>
    <t xml:space="preserve">Concessione uso marchio Kiron </t>
  </si>
  <si>
    <t>Penalità o risarcimenti attivi</t>
  </si>
  <si>
    <t>Abbuoni, sconti e arrotondamenti attivi</t>
  </si>
  <si>
    <t>Rimborsi vari</t>
  </si>
  <si>
    <t>Sopravvenienze attive</t>
  </si>
  <si>
    <t>Altri ricavi e proventi</t>
  </si>
  <si>
    <t>Proventi e compensi in natura</t>
  </si>
  <si>
    <t>Interessi attivi diversi</t>
  </si>
  <si>
    <t>Dividendi incassati su titoli</t>
  </si>
  <si>
    <t>Plusvalenze da cessione titoli/fondi</t>
  </si>
  <si>
    <t>Provvigioni attive</t>
  </si>
  <si>
    <t>Tipo dato</t>
  </si>
  <si>
    <t>Voce bilancio gestionale</t>
  </si>
  <si>
    <t>Compensi per audit</t>
  </si>
  <si>
    <t>Provvigioni passive progetto giovani</t>
  </si>
  <si>
    <t>Formazione e aggiornamento professionale</t>
  </si>
  <si>
    <t>Servizi per gestione pratiche</t>
  </si>
  <si>
    <t>Concessione uso marchio Kiron</t>
  </si>
  <si>
    <t>C3.1</t>
  </si>
  <si>
    <t>R2.1</t>
  </si>
  <si>
    <t>R1.1</t>
  </si>
  <si>
    <t>R3.1</t>
  </si>
  <si>
    <t>CS3</t>
  </si>
  <si>
    <t>CS2</t>
  </si>
  <si>
    <t>CS1</t>
  </si>
  <si>
    <t>CS4</t>
  </si>
  <si>
    <t>CS5</t>
  </si>
  <si>
    <t>CS8</t>
  </si>
  <si>
    <t>CS9</t>
  </si>
  <si>
    <t>CS6</t>
  </si>
  <si>
    <t>CS7</t>
  </si>
  <si>
    <t>CS10</t>
  </si>
  <si>
    <t>Codice raggr. voce gestionale</t>
  </si>
  <si>
    <t>Valore parametro</t>
  </si>
  <si>
    <t>Importo stimato</t>
  </si>
  <si>
    <t>Parametro stima std</t>
  </si>
  <si>
    <t>tbd</t>
  </si>
  <si>
    <t>*% risorse - o del costo del personale - che si dedicano a ciascuna famiglia di prodotti</t>
  </si>
  <si>
    <t>da ribaltare in modo omogeneo sui senior aderenti (quindi i senior avranno costi propri + costi imputati) - OPEN POINT</t>
  </si>
  <si>
    <t>n. collaboratori * % max enasarco * % di collaboratori che raggiungono il cap</t>
  </si>
  <si>
    <t>1% dei ricavi solo per mediazione creditizia. Da calcolare sulle provvigioni passive</t>
  </si>
  <si>
    <t>% da stimare sul fatturato della propria area per ciascun responsabile area</t>
  </si>
  <si>
    <t>da ribaltare in modo omogeneo su tutti i prodotti / pratiche delle filiere aderenti</t>
  </si>
  <si>
    <t>Collaboratore (incentivo a scaglioni dimensionali suddiviso per senior manager 2/3 e collaboratore 1/3 ); sotto incentivazione della filiera a scaglioni dimensionali; sotto incentivazione di specifici prodotti (cqs, prestiti personali). Imputabile al prodotto in modo % rispetto ai ricavi</t>
  </si>
  <si>
    <t>rappel quantitativi (varia per istituto e per scaglioni produttivi dimensionali (crescita scaglioni marginali)) + (collocamento assicurativo su prodotto mutui) + rappel qualitativi (tbd,tbd7% sulle pratiche con più di tre rate arretrate)</t>
  </si>
  <si>
    <t>Misura per calcolo proiezioni</t>
  </si>
  <si>
    <t>Crescita % YoY</t>
  </si>
  <si>
    <t>(erogato, share istituto, redditività istituto)</t>
  </si>
  <si>
    <t>Periodicità riconciliazione</t>
  </si>
  <si>
    <t>TG4</t>
  </si>
  <si>
    <t>Annuale</t>
  </si>
  <si>
    <t>Mensile</t>
  </si>
  <si>
    <t>Semestrale</t>
  </si>
  <si>
    <t>Vario</t>
  </si>
  <si>
    <t>Mensile (fatture)</t>
  </si>
  <si>
    <t>Trimestrale</t>
  </si>
  <si>
    <t>Secondo mese dopo il trimestre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</si>
  <si>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</si>
  <si>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</si>
  <si>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</si>
  <si>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</si>
  <si>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</si>
  <si>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</si>
  <si>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</si>
  <si>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</si>
  <si>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</si>
  <si>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</si>
  <si>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</si>
  <si>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</si>
  <si>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</si>
  <si>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</si>
  <si>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</si>
  <si>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</si>
  <si>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TG5</t>
  </si>
  <si>
    <t>TG6</t>
  </si>
  <si>
    <t>TG7</t>
  </si>
  <si>
    <t>Variabili base calcolo</t>
  </si>
  <si>
    <t xml:space="preserve">Parametri </t>
  </si>
  <si>
    <t>Logica proiezione</t>
  </si>
  <si>
    <t>Erogato anno N-1 per ciascun prodotto e istituto</t>
  </si>
  <si>
    <t>ID Agenzia</t>
  </si>
  <si>
    <t>Codice fiscale responsabile area</t>
  </si>
  <si>
    <t>Codice fiscale collaboratore</t>
  </si>
  <si>
    <t>Data inizio</t>
  </si>
  <si>
    <t>Data fine</t>
  </si>
  <si>
    <t>Tipo Mediazione</t>
  </si>
  <si>
    <t>Valori possibili</t>
  </si>
  <si>
    <t>Creditizia / Assicurativa</t>
  </si>
  <si>
    <t>Mutuo, Prestito personale, Prestito corporate, CQS, Polizza, Consulenza)</t>
  </si>
  <si>
    <t>Fisso, Misto, Variabile, Cap, Altri prodotti</t>
  </si>
  <si>
    <t>Gerarchia:</t>
  </si>
  <si>
    <t>1. Responsabile area</t>
  </si>
  <si>
    <t>2. Agenzia</t>
  </si>
  <si>
    <t>D36</t>
  </si>
  <si>
    <t>D37</t>
  </si>
  <si>
    <t>D38</t>
  </si>
  <si>
    <t>D39</t>
  </si>
  <si>
    <t>D40</t>
  </si>
  <si>
    <t>4. Tutor</t>
  </si>
  <si>
    <t>5. Gestore</t>
  </si>
  <si>
    <t>6. Collaboratore</t>
  </si>
  <si>
    <t>Senior manager</t>
  </si>
  <si>
    <t>3. Senior manager</t>
  </si>
  <si>
    <t>Codice fiscale senior manager</t>
  </si>
  <si>
    <t>Codice fiscale tutor</t>
  </si>
  <si>
    <t>Codice fiscale gestore</t>
  </si>
  <si>
    <t>D41</t>
  </si>
  <si>
    <t>D42</t>
  </si>
  <si>
    <t>D43</t>
  </si>
  <si>
    <t>D44</t>
  </si>
  <si>
    <t>Periodo</t>
  </si>
  <si>
    <t>Griglia con categoria prodotti e incidenza dei costi risorse</t>
  </si>
  <si>
    <t>Incidenza costi risorse</t>
  </si>
  <si>
    <t>Conferma</t>
  </si>
  <si>
    <t>Prodotto</t>
  </si>
  <si>
    <t>Anno di riferimento</t>
  </si>
  <si>
    <t>Mese di riferimento</t>
  </si>
  <si>
    <t>D0</t>
  </si>
  <si>
    <t>Data estrazione</t>
  </si>
  <si>
    <t>Codice regole stima std</t>
  </si>
  <si>
    <t>STD#</t>
  </si>
  <si>
    <t>STD1</t>
  </si>
  <si>
    <t>STD2</t>
  </si>
  <si>
    <t>STD3</t>
  </si>
  <si>
    <t>STD4</t>
  </si>
  <si>
    <t>STD5</t>
  </si>
  <si>
    <t>STD6</t>
  </si>
  <si>
    <t>STD8</t>
  </si>
  <si>
    <t>STD7</t>
  </si>
  <si>
    <t>Misure</t>
  </si>
  <si>
    <t>Costi di struttura 2 (CS2)</t>
  </si>
  <si>
    <t>Payout progetto giovani (C9)</t>
  </si>
  <si>
    <t>Rappel (R3)</t>
  </si>
  <si>
    <t>Enasarco (C1)</t>
  </si>
  <si>
    <t>N. collaboratori</t>
  </si>
  <si>
    <t>Cap aliquota Enasarco</t>
  </si>
  <si>
    <t>Quota % collaboratori che si ipotizza raggiungano il cap</t>
  </si>
  <si>
    <t>Griglia con numero collaboratori, quota dei collaboratori che si ipotizza raggiungano il cap e il cap aliquota Enasarco</t>
  </si>
  <si>
    <t>Payin</t>
  </si>
  <si>
    <t>base di allocazione</t>
  </si>
  <si>
    <t>Creditizia</t>
  </si>
  <si>
    <t>Payout</t>
  </si>
  <si>
    <t>FIRR (C2)</t>
  </si>
  <si>
    <t>Criterio %</t>
  </si>
  <si>
    <t>Consulenza d'area (C6)</t>
  </si>
  <si>
    <t>Fatturato</t>
  </si>
  <si>
    <t>Griglia con fatturato per responsabile d'area e criterio %</t>
  </si>
  <si>
    <t>Ricavi compartecipazione progetto giovani (R4)</t>
  </si>
  <si>
    <t>Solo aderenti progetti giovani</t>
  </si>
  <si>
    <t>Griglia con payout mediazione creditizia e criterio %</t>
  </si>
  <si>
    <t>Prodotto / Pratica</t>
  </si>
  <si>
    <t>Base allocazione</t>
  </si>
  <si>
    <t>Incentivi (C3)</t>
  </si>
  <si>
    <t>Scaglione dimensionale</t>
  </si>
  <si>
    <t>Solo CQS e Presiti personali</t>
  </si>
  <si>
    <t>Ruolo agente</t>
  </si>
  <si>
    <t>Solo Collaboratore e Senior</t>
  </si>
  <si>
    <t>Tipo pratica</t>
  </si>
  <si>
    <t>Altro tbd</t>
  </si>
  <si>
    <t>Altri ricavi (RA1), Servizi di certificazione documentale (C5), Costi di struttura 3 (CS3), Costi di struttura 8 (CS8), Costi di struttura 9 (CS9), Costi di struttura 10 (CS10)</t>
  </si>
  <si>
    <t>STD9</t>
  </si>
  <si>
    <t>28% dell'Ebit</t>
  </si>
  <si>
    <t>Griglia con Ebit e criterio %</t>
  </si>
  <si>
    <t>Ebit*</t>
  </si>
  <si>
    <t>*Ebit = utile d'esercizio al netto di minusvalenze, rettifiche finanziarie e imposte</t>
  </si>
  <si>
    <t>Rappel ribaltato</t>
  </si>
  <si>
    <t>Rappel totale di periodo</t>
  </si>
  <si>
    <t>Ricavi compartecipazione progetto giovani (R4), Rimborsi agenti (C8), Payout progetto giovani (C9)</t>
  </si>
  <si>
    <t>Solo agenzie progetto giovani</t>
  </si>
  <si>
    <t>Incidenza Payin su Totale payin agenzie aderenti progetto giovani</t>
  </si>
  <si>
    <t>Totale payin agenzie aderenti progetto giovani</t>
  </si>
  <si>
    <t>Payout progetto giovani totale di periodo</t>
  </si>
  <si>
    <t>Payout progetto giovani ribaltato</t>
  </si>
  <si>
    <t>Payin progetto giovani totale di periodo</t>
  </si>
  <si>
    <t>Payin progetto giovani ribaltato</t>
  </si>
  <si>
    <t>Rimborsi totale di periodo</t>
  </si>
  <si>
    <t>Rimborsi ribaltato</t>
  </si>
  <si>
    <t>Altri ricavi (RA1), Incentivi passivi (C3)</t>
  </si>
  <si>
    <t>Totale payin</t>
  </si>
  <si>
    <t>Incidenza Payin su Totale payin</t>
  </si>
  <si>
    <t>Altri ricavi ribaltati</t>
  </si>
  <si>
    <t>Incentivi passivi totali di periodo</t>
  </si>
  <si>
    <t>Incentivi passivi ribaltati</t>
  </si>
  <si>
    <t>Altri ricavi totali di periodo</t>
  </si>
  <si>
    <t>Enasarco (C1), FIRR (C2)</t>
  </si>
  <si>
    <t>Totale payin mediazione creditizia</t>
  </si>
  <si>
    <t>Payin mediazione creditizia</t>
  </si>
  <si>
    <t>Solo mediazione creditizia</t>
  </si>
  <si>
    <t>Totale payout mediazione creditizia</t>
  </si>
  <si>
    <t>Incidenza Payin su Totale payin mediazione creditizia</t>
  </si>
  <si>
    <t>Incidenza Payout su Totale payout mediazione creditizia</t>
  </si>
  <si>
    <t>Enasarco totale di periodo</t>
  </si>
  <si>
    <t>Enasarco ribaltato</t>
  </si>
  <si>
    <t>FIRR totale di periodo</t>
  </si>
  <si>
    <t>FIRR ribaltato</t>
  </si>
  <si>
    <t>Servizi certificazione documentale (C5)</t>
  </si>
  <si>
    <t>Solo mutuo</t>
  </si>
  <si>
    <t>Totale erogato mutuo</t>
  </si>
  <si>
    <t>Incidenza Erogato mutuo su Totale erogato mutuo</t>
  </si>
  <si>
    <t>Servizi certificazione documentale totale di periodo</t>
  </si>
  <si>
    <t>Servizi certificazione documentale ribaltato</t>
  </si>
  <si>
    <t>Consulenza d'area e incentivi consulenza credito (C6)</t>
  </si>
  <si>
    <t>Totale Payin area</t>
  </si>
  <si>
    <t>Incidenza Payin su Totale Payin area</t>
  </si>
  <si>
    <t>Consulenza d'area e incentivi consulenza del credito totale di periodo</t>
  </si>
  <si>
    <t>Consulenza d'area e incentivi consulenza del credito ribaltato</t>
  </si>
  <si>
    <t>Payin agenzie progetto giovani</t>
  </si>
  <si>
    <t>Costi di struttura 1-10 (CS1-CS10)</t>
  </si>
  <si>
    <t>Costi di struttura 1 totali di periodo</t>
  </si>
  <si>
    <t>Costi di struttura 1 ribaltati</t>
  </si>
  <si>
    <t>Costi di struttura 2 totali di periodo</t>
  </si>
  <si>
    <t>Costi di struttura 2 ribaltati</t>
  </si>
  <si>
    <t>Costi di struttura 3 totali di periodo</t>
  </si>
  <si>
    <t>Costi di struttura 3 ribaltati</t>
  </si>
  <si>
    <t>Costi di struttura 4 totali di periodo</t>
  </si>
  <si>
    <t>Costi di struttura 4 ribaltati</t>
  </si>
  <si>
    <t>Costi di struttura 5 totali di periodo</t>
  </si>
  <si>
    <t>Costi di struttura 5 ribaltati</t>
  </si>
  <si>
    <t>Costi di struttura 6 totali di periodo</t>
  </si>
  <si>
    <t>Costi di struttura 6 ribaltati</t>
  </si>
  <si>
    <t>Costi di struttura 7 totali di periodo</t>
  </si>
  <si>
    <t>Costi di struttura 7 ribaltati</t>
  </si>
  <si>
    <t>Costi di struttura 8 totali di periodo</t>
  </si>
  <si>
    <t>Costi di struttura 8 ribaltati</t>
  </si>
  <si>
    <t>Costi di struttura 9 totali di periodo</t>
  </si>
  <si>
    <t>Costi di struttura 9 ribaltati</t>
  </si>
  <si>
    <t>Costi di struttura 10 totali di periodo</t>
  </si>
  <si>
    <t>Costi di struttura 10 ribaltati</t>
  </si>
  <si>
    <t>Totale tbd</t>
  </si>
  <si>
    <t>Incidenza tbd su Totale tbd</t>
  </si>
  <si>
    <t>Output</t>
  </si>
  <si>
    <t>compilazione manuale</t>
  </si>
  <si>
    <t>Ribaltamento del rappel in base al payin della mediazione creditizia sulle dimensioni di analisi prodotto - istituto - rete</t>
  </si>
  <si>
    <t>Ribaltamento del payin progetto giovani, del payout progetto giovani e dei rimborsi in base al al payin delle agenzie aderenti al progetto giovani sulle dimensioni di analisi prodotto - istituto - rete</t>
  </si>
  <si>
    <t>Ribaltamento degli altri ricavi e degli incentivi passivi in base al payin sulle dimensioni di analisi prodotto - istituto - rete</t>
  </si>
  <si>
    <t>Ribaltamento dell'Enasarco e del FIRR in base al payout della mediazione creditizia sulle dimensioni di analisi prodotto - istituto - rete</t>
  </si>
  <si>
    <t>Ribaltamento dei servizi di certificazione documentale in base all'erogato mutuo sulle dimensioni di analisi prodotto - istituto - rete</t>
  </si>
  <si>
    <t>Ribaltamento della consulenza d'area in base al payin dell'area sulle dimensioni di analisi prodotto - istituto - rete</t>
  </si>
  <si>
    <t>Ribaltamento dei costi di struttura in base a … sulle dimensioni di analisi prodotto - istituto - 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</si>
</sst>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Poppins"/>
    </font>
    <font>
      <b/>
      <sz val="9"/>
      <name val="Poppins"/>
    </font>
    <font>
      <sz val="9"/>
      <name val="Poppins"/>
    </font>
    <font>
      <sz val="9"/>
      <color rgb="FF000000"/>
      <name val="Poppin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2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Border="1"/>
    <xf numFmtId="9" fontId="0" fillId="0" borderId="0" xfId="0" applyNumberFormat="1"/>
    <xf numFmtId="0" fontId="8" fillId="0" borderId="0" xfId="0" applyFont="1"/>
    <xf numFmtId="0" fontId="0" fillId="0" borderId="0" xfId="0" applyFill="1"/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0" borderId="0" xfId="0" applyFont="1"/>
    <xf numFmtId="0" fontId="0" fillId="0" borderId="0" xfId="0" applyBorder="1" applyAlignment="1">
      <alignment vertical="center" wrapText="1"/>
    </xf>
    <xf numFmtId="9" fontId="0" fillId="0" borderId="0" xfId="1" applyFont="1"/>
    <xf numFmtId="0" fontId="0" fillId="0" borderId="13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13" xfId="0" applyFill="1" applyBorder="1" applyAlignment="1">
      <alignment vertical="center" wrapText="1"/>
    </xf>
    <xf numFmtId="0" fontId="0" fillId="3" borderId="13" xfId="0" applyFont="1" applyFill="1" applyBorder="1" applyAlignment="1">
      <alignment vertical="center"/>
    </xf>
    <xf numFmtId="0" fontId="1" fillId="3" borderId="0" xfId="0" applyFont="1" applyFill="1"/>
    <xf numFmtId="0" fontId="0" fillId="0" borderId="0" xfId="0" applyBorder="1"/>
    <xf numFmtId="0" fontId="1" fillId="0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F08F-6A3A-4575-A8C0-228E88B47B24}">
  <dimension ref="A1:B9"/>
  <sheetViews>
    <sheetView zoomScale="134" workbookViewId="0">
      <selection activeCell="B5" sqref="B5"/>
    </sheetView>
  </sheetViews>
  <sheetFormatPr defaultRowHeight="14.4" x14ac:dyDescent="0.3"/>
  <cols>
    <col min="1" max="1" width="16.5546875" bestFit="1" customWidth="1"/>
    <col min="2" max="2" width="39.77734375" bestFit="1" customWidth="1"/>
  </cols>
  <sheetData>
    <row r="1" spans="1:2" ht="18" thickBot="1" x14ac:dyDescent="0.35">
      <c r="A1" s="1" t="s">
        <v>0</v>
      </c>
      <c r="B1" s="2" t="s">
        <v>1</v>
      </c>
    </row>
    <row r="2" spans="1:2" ht="18" thickBot="1" x14ac:dyDescent="0.35">
      <c r="A2" s="3" t="s">
        <v>2</v>
      </c>
      <c r="B2" s="4" t="s">
        <v>3</v>
      </c>
    </row>
    <row r="3" spans="1:2" ht="18" thickBot="1" x14ac:dyDescent="0.35">
      <c r="A3" s="3" t="s">
        <v>4</v>
      </c>
      <c r="B3" s="4" t="s">
        <v>5</v>
      </c>
    </row>
    <row r="4" spans="1:2" ht="18" thickBot="1" x14ac:dyDescent="0.35">
      <c r="A4" s="3" t="s">
        <v>6</v>
      </c>
      <c r="B4" s="4" t="s">
        <v>7</v>
      </c>
    </row>
    <row r="5" spans="1:2" ht="18" thickBot="1" x14ac:dyDescent="0.35">
      <c r="A5" s="3" t="s">
        <v>8</v>
      </c>
      <c r="B5" s="4" t="s">
        <v>9</v>
      </c>
    </row>
    <row r="6" spans="1:2" ht="18" thickBot="1" x14ac:dyDescent="0.35">
      <c r="A6" s="3" t="s">
        <v>10</v>
      </c>
      <c r="B6" s="4" t="s">
        <v>11</v>
      </c>
    </row>
    <row r="7" spans="1:2" ht="18" thickBot="1" x14ac:dyDescent="0.35">
      <c r="A7" s="3" t="s">
        <v>12</v>
      </c>
      <c r="B7" s="4" t="s">
        <v>13</v>
      </c>
    </row>
    <row r="8" spans="1:2" ht="18" thickBot="1" x14ac:dyDescent="0.35">
      <c r="A8" s="3" t="s">
        <v>14</v>
      </c>
      <c r="B8" s="4" t="s">
        <v>15</v>
      </c>
    </row>
    <row r="9" spans="1:2" ht="18" thickBot="1" x14ac:dyDescent="0.35">
      <c r="A9" s="3" t="s">
        <v>16</v>
      </c>
      <c r="B9" s="4" t="s">
        <v>17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DCCA-8EB3-420B-A558-B6A1F43A8C96}">
  <dimension ref="A1:C45"/>
  <sheetViews>
    <sheetView workbookViewId="0">
      <selection activeCell="B19" sqref="B19"/>
    </sheetView>
  </sheetViews>
  <sheetFormatPr defaultRowHeight="14.4" x14ac:dyDescent="0.3"/>
  <cols>
    <col min="1" max="1" width="13" bestFit="1" customWidth="1"/>
    <col min="2" max="2" width="26.5546875" style="14" bestFit="1" customWidth="1"/>
    <col min="3" max="3" width="15.77734375" bestFit="1" customWidth="1"/>
  </cols>
  <sheetData>
    <row r="1" spans="1:3" x14ac:dyDescent="0.3">
      <c r="A1" s="5" t="s">
        <v>18</v>
      </c>
      <c r="B1" s="5" t="s">
        <v>19</v>
      </c>
      <c r="C1" s="5" t="s">
        <v>20</v>
      </c>
    </row>
    <row r="2" spans="1:3" x14ac:dyDescent="0.3">
      <c r="A2" s="15" t="s">
        <v>597</v>
      </c>
      <c r="B2" s="15" t="s">
        <v>598</v>
      </c>
      <c r="C2" t="s">
        <v>25</v>
      </c>
    </row>
    <row r="3" spans="1:3" x14ac:dyDescent="0.3">
      <c r="A3" t="s">
        <v>21</v>
      </c>
      <c r="B3" s="14" t="s">
        <v>22</v>
      </c>
      <c r="C3" t="s">
        <v>23</v>
      </c>
    </row>
    <row r="4" spans="1:3" x14ac:dyDescent="0.3">
      <c r="A4" t="s">
        <v>24</v>
      </c>
      <c r="B4" t="s">
        <v>595</v>
      </c>
      <c r="C4" t="s">
        <v>25</v>
      </c>
    </row>
    <row r="5" spans="1:3" x14ac:dyDescent="0.3">
      <c r="A5" t="s">
        <v>26</v>
      </c>
      <c r="B5" t="s">
        <v>596</v>
      </c>
      <c r="C5" t="s">
        <v>25</v>
      </c>
    </row>
    <row r="6" spans="1:3" x14ac:dyDescent="0.3">
      <c r="A6" t="s">
        <v>27</v>
      </c>
      <c r="B6" s="14" t="s">
        <v>28</v>
      </c>
      <c r="C6" t="s">
        <v>25</v>
      </c>
    </row>
    <row r="7" spans="1:3" x14ac:dyDescent="0.3">
      <c r="A7" t="s">
        <v>29</v>
      </c>
      <c r="B7" s="14" t="s">
        <v>30</v>
      </c>
      <c r="C7" t="s">
        <v>23</v>
      </c>
    </row>
    <row r="8" spans="1:3" x14ac:dyDescent="0.3">
      <c r="A8" t="s">
        <v>31</v>
      </c>
      <c r="B8" s="14" t="s">
        <v>32</v>
      </c>
      <c r="C8" t="s">
        <v>23</v>
      </c>
    </row>
    <row r="9" spans="1:3" x14ac:dyDescent="0.3">
      <c r="A9" t="s">
        <v>33</v>
      </c>
      <c r="B9" s="14" t="s">
        <v>34</v>
      </c>
      <c r="C9" t="s">
        <v>23</v>
      </c>
    </row>
    <row r="10" spans="1:3" x14ac:dyDescent="0.3">
      <c r="A10" t="s">
        <v>35</v>
      </c>
      <c r="B10" s="14" t="s">
        <v>36</v>
      </c>
      <c r="C10" t="s">
        <v>23</v>
      </c>
    </row>
    <row r="11" spans="1:3" x14ac:dyDescent="0.3">
      <c r="A11" t="s">
        <v>37</v>
      </c>
      <c r="B11" s="14" t="s">
        <v>38</v>
      </c>
      <c r="C11" t="s">
        <v>23</v>
      </c>
    </row>
    <row r="12" spans="1:3" x14ac:dyDescent="0.3">
      <c r="A12" t="s">
        <v>39</v>
      </c>
      <c r="B12" s="14" t="s">
        <v>40</v>
      </c>
      <c r="C12" t="s">
        <v>23</v>
      </c>
    </row>
    <row r="13" spans="1:3" x14ac:dyDescent="0.3">
      <c r="A13" t="s">
        <v>41</v>
      </c>
      <c r="B13" s="14" t="s">
        <v>42</v>
      </c>
      <c r="C13" t="s">
        <v>23</v>
      </c>
    </row>
    <row r="14" spans="1:3" x14ac:dyDescent="0.3">
      <c r="A14" t="s">
        <v>43</v>
      </c>
      <c r="B14" s="14" t="s">
        <v>44</v>
      </c>
      <c r="C14" t="s">
        <v>23</v>
      </c>
    </row>
    <row r="15" spans="1:3" x14ac:dyDescent="0.3">
      <c r="A15" t="s">
        <v>45</v>
      </c>
      <c r="B15" s="14" t="s">
        <v>46</v>
      </c>
      <c r="C15" t="s">
        <v>25</v>
      </c>
    </row>
    <row r="16" spans="1:3" x14ac:dyDescent="0.3">
      <c r="A16" t="s">
        <v>47</v>
      </c>
      <c r="B16" s="14" t="s">
        <v>48</v>
      </c>
      <c r="C16" t="s">
        <v>23</v>
      </c>
    </row>
    <row r="17" spans="1:3" x14ac:dyDescent="0.3">
      <c r="A17" t="s">
        <v>49</v>
      </c>
      <c r="B17" s="14" t="s">
        <v>50</v>
      </c>
      <c r="C17" t="s">
        <v>51</v>
      </c>
    </row>
    <row r="18" spans="1:3" x14ac:dyDescent="0.3">
      <c r="A18" t="s">
        <v>52</v>
      </c>
      <c r="B18" s="14" t="s">
        <v>53</v>
      </c>
      <c r="C18" t="s">
        <v>51</v>
      </c>
    </row>
    <row r="19" spans="1:3" x14ac:dyDescent="0.3">
      <c r="A19" t="s">
        <v>54</v>
      </c>
      <c r="B19" t="s">
        <v>565</v>
      </c>
      <c r="C19" t="s">
        <v>145</v>
      </c>
    </row>
    <row r="20" spans="1:3" x14ac:dyDescent="0.3">
      <c r="A20" t="s">
        <v>55</v>
      </c>
      <c r="B20" s="14" t="s">
        <v>56</v>
      </c>
      <c r="C20" t="s">
        <v>25</v>
      </c>
    </row>
    <row r="21" spans="1:3" x14ac:dyDescent="0.3">
      <c r="A21" t="s">
        <v>537</v>
      </c>
      <c r="B21" s="14" t="s">
        <v>179</v>
      </c>
      <c r="C21" t="s">
        <v>145</v>
      </c>
    </row>
    <row r="22" spans="1:3" x14ac:dyDescent="0.3">
      <c r="A22" t="s">
        <v>538</v>
      </c>
      <c r="B22" s="15" t="s">
        <v>594</v>
      </c>
      <c r="C22" t="s">
        <v>145</v>
      </c>
    </row>
    <row r="23" spans="1:3" x14ac:dyDescent="0.3">
      <c r="A23" t="s">
        <v>539</v>
      </c>
      <c r="B23" s="15" t="s">
        <v>175</v>
      </c>
      <c r="C23" t="s">
        <v>145</v>
      </c>
    </row>
    <row r="24" spans="1:3" x14ac:dyDescent="0.3">
      <c r="A24" t="s">
        <v>540</v>
      </c>
      <c r="B24" s="15" t="s">
        <v>176</v>
      </c>
      <c r="C24" t="s">
        <v>23</v>
      </c>
    </row>
    <row r="25" spans="1:3" x14ac:dyDescent="0.3">
      <c r="A25" t="s">
        <v>541</v>
      </c>
      <c r="B25" s="15" t="s">
        <v>177</v>
      </c>
      <c r="C25" t="s">
        <v>23</v>
      </c>
    </row>
    <row r="26" spans="1:3" x14ac:dyDescent="0.3">
      <c r="A26" t="s">
        <v>542</v>
      </c>
      <c r="B26" s="15" t="s">
        <v>512</v>
      </c>
      <c r="C26" t="s">
        <v>529</v>
      </c>
    </row>
    <row r="27" spans="1:3" x14ac:dyDescent="0.3">
      <c r="A27" t="s">
        <v>543</v>
      </c>
      <c r="B27" s="15" t="s">
        <v>180</v>
      </c>
      <c r="C27" t="s">
        <v>529</v>
      </c>
    </row>
    <row r="28" spans="1:3" x14ac:dyDescent="0.3">
      <c r="A28" t="s">
        <v>544</v>
      </c>
      <c r="B28" s="15" t="s">
        <v>178</v>
      </c>
      <c r="C28" t="s">
        <v>529</v>
      </c>
    </row>
    <row r="29" spans="1:3" x14ac:dyDescent="0.3">
      <c r="A29" t="s">
        <v>545</v>
      </c>
      <c r="B29" s="15" t="s">
        <v>491</v>
      </c>
      <c r="C29" t="s">
        <v>529</v>
      </c>
    </row>
    <row r="30" spans="1:3" x14ac:dyDescent="0.3">
      <c r="A30" t="s">
        <v>546</v>
      </c>
      <c r="B30" s="15" t="s">
        <v>492</v>
      </c>
      <c r="C30" t="s">
        <v>529</v>
      </c>
    </row>
    <row r="31" spans="1:3" x14ac:dyDescent="0.3">
      <c r="A31" t="s">
        <v>547</v>
      </c>
      <c r="B31" s="16" t="s">
        <v>515</v>
      </c>
      <c r="C31" t="s">
        <v>553</v>
      </c>
    </row>
    <row r="32" spans="1:3" x14ac:dyDescent="0.3">
      <c r="A32" t="s">
        <v>548</v>
      </c>
      <c r="B32" s="15" t="s">
        <v>513</v>
      </c>
      <c r="C32" t="s">
        <v>553</v>
      </c>
    </row>
    <row r="33" spans="1:3" x14ac:dyDescent="0.3">
      <c r="A33" t="s">
        <v>549</v>
      </c>
      <c r="B33" s="15" t="s">
        <v>514</v>
      </c>
      <c r="C33" t="s">
        <v>553</v>
      </c>
    </row>
    <row r="34" spans="1:3" x14ac:dyDescent="0.3">
      <c r="A34" t="s">
        <v>550</v>
      </c>
      <c r="B34" s="15" t="s">
        <v>525</v>
      </c>
      <c r="C34" t="s">
        <v>554</v>
      </c>
    </row>
    <row r="35" spans="1:3" x14ac:dyDescent="0.3">
      <c r="A35" t="s">
        <v>551</v>
      </c>
      <c r="B35" s="15" t="s">
        <v>526</v>
      </c>
      <c r="C35" t="s">
        <v>554</v>
      </c>
    </row>
    <row r="36" spans="1:3" x14ac:dyDescent="0.3">
      <c r="A36" t="s">
        <v>552</v>
      </c>
      <c r="B36" s="15" t="s">
        <v>528</v>
      </c>
      <c r="C36" t="s">
        <v>555</v>
      </c>
    </row>
    <row r="37" spans="1:3" x14ac:dyDescent="0.3">
      <c r="A37" t="s">
        <v>573</v>
      </c>
      <c r="B37" t="s">
        <v>561</v>
      </c>
      <c r="C37" t="s">
        <v>23</v>
      </c>
    </row>
    <row r="38" spans="1:3" x14ac:dyDescent="0.3">
      <c r="A38" t="s">
        <v>574</v>
      </c>
      <c r="B38" t="s">
        <v>560</v>
      </c>
      <c r="C38" t="s">
        <v>23</v>
      </c>
    </row>
    <row r="39" spans="1:3" x14ac:dyDescent="0.3">
      <c r="A39" t="s">
        <v>575</v>
      </c>
      <c r="B39" t="s">
        <v>562</v>
      </c>
      <c r="C39" t="s">
        <v>23</v>
      </c>
    </row>
    <row r="40" spans="1:3" x14ac:dyDescent="0.3">
      <c r="A40" t="s">
        <v>576</v>
      </c>
      <c r="B40" t="s">
        <v>563</v>
      </c>
      <c r="C40" t="s">
        <v>23</v>
      </c>
    </row>
    <row r="41" spans="1:3" x14ac:dyDescent="0.3">
      <c r="A41" t="s">
        <v>577</v>
      </c>
      <c r="B41" t="s">
        <v>564</v>
      </c>
      <c r="C41" t="s">
        <v>23</v>
      </c>
    </row>
    <row r="42" spans="1:3" x14ac:dyDescent="0.3">
      <c r="A42" t="s">
        <v>586</v>
      </c>
      <c r="B42" t="s">
        <v>583</v>
      </c>
      <c r="C42" t="s">
        <v>23</v>
      </c>
    </row>
    <row r="43" spans="1:3" x14ac:dyDescent="0.3">
      <c r="A43" t="s">
        <v>587</v>
      </c>
      <c r="B43" t="s">
        <v>581</v>
      </c>
      <c r="C43" t="s">
        <v>23</v>
      </c>
    </row>
    <row r="44" spans="1:3" x14ac:dyDescent="0.3">
      <c r="A44" t="s">
        <v>588</v>
      </c>
      <c r="B44" t="s">
        <v>584</v>
      </c>
      <c r="C44" t="s">
        <v>23</v>
      </c>
    </row>
    <row r="45" spans="1:3" x14ac:dyDescent="0.3">
      <c r="A45" t="s">
        <v>589</v>
      </c>
      <c r="B45" t="s">
        <v>585</v>
      </c>
      <c r="C45" t="s">
        <v>23</v>
      </c>
    </row>
  </sheetData>
  <autoFilter ref="A1:C45" xr:uid="{E794DCCA-8EB3-420B-A558-B6A1F43A8C96}"/>
  <phoneticPr fontId="6" type="noConversion"/>
  <conditionalFormatting sqref="B6:B1048576 B1 B3">
    <cfRule type="duplicateValues" dxfId="5" priority="4"/>
  </conditionalFormatting>
  <conditionalFormatting sqref="B16395:B1048576 B1 B6:B25 B3">
    <cfRule type="duplicateValues" dxfId="4" priority="5"/>
  </conditionalFormatting>
  <conditionalFormatting sqref="B4">
    <cfRule type="duplicateValues" dxfId="3" priority="3"/>
  </conditionalFormatting>
  <conditionalFormatting sqref="B5">
    <cfRule type="duplicateValues" dxfId="2" priority="2"/>
  </conditionalFormatting>
  <conditionalFormatting sqref="B2">
    <cfRule type="duplicateValues" dxfId="1" priority="1"/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D4EB-F99F-43E5-B125-858F837DAA54}">
  <dimension ref="A1:D6"/>
  <sheetViews>
    <sheetView zoomScale="169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6.77734375" bestFit="1" customWidth="1"/>
    <col min="3" max="3" width="10.44140625" bestFit="1" customWidth="1"/>
    <col min="4" max="4" width="21.5546875" bestFit="1" customWidth="1"/>
  </cols>
  <sheetData>
    <row r="1" spans="1:4" x14ac:dyDescent="0.3">
      <c r="A1" s="11" t="s">
        <v>18</v>
      </c>
      <c r="B1" s="11" t="s">
        <v>19</v>
      </c>
      <c r="C1" s="11" t="s">
        <v>20</v>
      </c>
      <c r="D1" s="11" t="s">
        <v>566</v>
      </c>
    </row>
    <row r="2" spans="1:4" x14ac:dyDescent="0.3">
      <c r="A2" t="str">
        <f>+INDEX('Dizionario campi'!A:A,MATCH(B2,'Dizionario campi'!B:B,0),1)</f>
        <v>D17</v>
      </c>
      <c r="B2" t="s">
        <v>565</v>
      </c>
      <c r="C2" t="s">
        <v>145</v>
      </c>
      <c r="D2" t="s">
        <v>567</v>
      </c>
    </row>
    <row r="3" spans="1:4" x14ac:dyDescent="0.3">
      <c r="A3" t="str">
        <f>+INDEX('Dizionario campi'!A:A,MATCH(B3,'Dizionario campi'!B:B,0),1)</f>
        <v>D4</v>
      </c>
      <c r="B3" t="s">
        <v>28</v>
      </c>
      <c r="C3" t="s">
        <v>145</v>
      </c>
      <c r="D3" t="s">
        <v>568</v>
      </c>
    </row>
    <row r="4" spans="1:4" x14ac:dyDescent="0.3">
      <c r="A4" t="str">
        <f>+INDEX('Dizionario campi'!A:A,MATCH(B4,'Dizionario campi'!B:B,0),1)</f>
        <v>D20</v>
      </c>
      <c r="B4" t="s">
        <v>179</v>
      </c>
      <c r="C4" t="s">
        <v>145</v>
      </c>
    </row>
    <row r="5" spans="1:4" x14ac:dyDescent="0.3">
      <c r="A5" t="str">
        <f>+INDEX('Dizionario campi'!A:A,MATCH(B5,'Dizionario campi'!B:B,0),1)</f>
        <v>D21</v>
      </c>
      <c r="B5" t="s">
        <v>594</v>
      </c>
      <c r="C5" t="s">
        <v>145</v>
      </c>
    </row>
    <row r="6" spans="1:4" x14ac:dyDescent="0.3">
      <c r="A6" t="str">
        <f>+INDEX('Dizionario campi'!A:A,MATCH(B6,'Dizionario campi'!B:B,0),1)</f>
        <v>D22</v>
      </c>
      <c r="B6" t="s">
        <v>175</v>
      </c>
      <c r="C6" t="s">
        <v>145</v>
      </c>
      <c r="D6" t="s">
        <v>569</v>
      </c>
    </row>
  </sheetData>
  <conditionalFormatting sqref="B3:B4">
    <cfRule type="duplicateValues" dxfId="0" priority="1"/>
  </conditionalFormatting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9E98-51B5-400B-9D08-CDF88FBBC344}">
  <dimension ref="A1:C4"/>
  <sheetViews>
    <sheetView zoomScale="154" workbookViewId="0">
      <selection activeCell="D10" sqref="D10"/>
    </sheetView>
  </sheetViews>
  <sheetFormatPr defaultRowHeight="14.4" x14ac:dyDescent="0.3"/>
  <cols>
    <col min="1" max="1" width="12.88671875" bestFit="1" customWidth="1"/>
    <col min="2" max="2" width="11.109375" bestFit="1" customWidth="1"/>
  </cols>
  <sheetData>
    <row r="1" spans="1:3" x14ac:dyDescent="0.3">
      <c r="A1" s="11" t="s">
        <v>18</v>
      </c>
      <c r="B1" s="11" t="s">
        <v>19</v>
      </c>
      <c r="C1" s="11" t="s">
        <v>20</v>
      </c>
    </row>
    <row r="2" spans="1:3" x14ac:dyDescent="0.3">
      <c r="A2" t="str">
        <f>+INDEX('Dizionario campi'!A:A,MATCH(B2,'Dizionario campi'!B:B,0),1)</f>
        <v>D23</v>
      </c>
      <c r="B2" t="s">
        <v>176</v>
      </c>
      <c r="C2" t="s">
        <v>23</v>
      </c>
    </row>
    <row r="3" spans="1:3" x14ac:dyDescent="0.3">
      <c r="A3" t="str">
        <f>+INDEX('Dizionario campi'!A:A,MATCH(B3,'Dizionario campi'!B:B,0),1)</f>
        <v>D6</v>
      </c>
      <c r="B3" t="s">
        <v>32</v>
      </c>
      <c r="C3" t="s">
        <v>23</v>
      </c>
    </row>
    <row r="4" spans="1:3" x14ac:dyDescent="0.3">
      <c r="A4" t="str">
        <f>+INDEX('Dizionario campi'!A:A,MATCH(B4,'Dizionario campi'!B:B,0),1)</f>
        <v>D24</v>
      </c>
      <c r="B4" t="s">
        <v>177</v>
      </c>
      <c r="C4" t="s">
        <v>23</v>
      </c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95F8-9E00-4775-8CA6-B5105EACFB6A}">
  <dimension ref="A1:I15"/>
  <sheetViews>
    <sheetView zoomScale="155" workbookViewId="0">
      <selection activeCell="D13" sqref="D13"/>
    </sheetView>
  </sheetViews>
  <sheetFormatPr defaultRowHeight="14.4" x14ac:dyDescent="0.3"/>
  <cols>
    <col min="1" max="1" width="12.88671875" bestFit="1" customWidth="1"/>
    <col min="2" max="2" width="16.88671875" bestFit="1" customWidth="1"/>
    <col min="8" max="8" width="9.5546875" bestFit="1" customWidth="1"/>
    <col min="9" max="9" width="18" bestFit="1" customWidth="1"/>
  </cols>
  <sheetData>
    <row r="1" spans="1:9" x14ac:dyDescent="0.3">
      <c r="A1" s="11" t="s">
        <v>18</v>
      </c>
      <c r="B1" s="11" t="s">
        <v>19</v>
      </c>
      <c r="C1" s="11" t="s">
        <v>20</v>
      </c>
      <c r="H1" t="s">
        <v>570</v>
      </c>
      <c r="I1" t="s">
        <v>571</v>
      </c>
    </row>
    <row r="2" spans="1:9" x14ac:dyDescent="0.3">
      <c r="A2" t="str">
        <f>+INDEX('Dizionario campi'!A:A,MATCH(B2,'Dizionario campi'!B:B,0),1)</f>
        <v>D11</v>
      </c>
      <c r="B2" t="s">
        <v>42</v>
      </c>
      <c r="C2" t="s">
        <v>23</v>
      </c>
      <c r="I2" t="s">
        <v>572</v>
      </c>
    </row>
    <row r="3" spans="1:9" x14ac:dyDescent="0.3">
      <c r="A3" t="str">
        <f>+INDEX('Dizionario campi'!A:A,MATCH(B3,'Dizionario campi'!B:B,0),1)</f>
        <v>D36</v>
      </c>
      <c r="B3" t="s">
        <v>561</v>
      </c>
      <c r="C3" t="s">
        <v>23</v>
      </c>
      <c r="I3" t="s">
        <v>582</v>
      </c>
    </row>
    <row r="4" spans="1:9" x14ac:dyDescent="0.3">
      <c r="A4" t="str">
        <f>+INDEX('Dizionario campi'!A:A,MATCH(B4,'Dizionario campi'!B:B,0),1)</f>
        <v>D37</v>
      </c>
      <c r="B4" t="s">
        <v>560</v>
      </c>
      <c r="C4" t="s">
        <v>23</v>
      </c>
      <c r="I4" t="s">
        <v>578</v>
      </c>
    </row>
    <row r="5" spans="1:9" x14ac:dyDescent="0.3">
      <c r="A5" t="str">
        <f>+INDEX('Dizionario campi'!A:A,MATCH(B5,'Dizionario campi'!B:B,0),1)</f>
        <v>D12</v>
      </c>
      <c r="B5" t="s">
        <v>44</v>
      </c>
      <c r="C5" t="s">
        <v>23</v>
      </c>
      <c r="I5" t="s">
        <v>579</v>
      </c>
    </row>
    <row r="6" spans="1:9" x14ac:dyDescent="0.3">
      <c r="A6" t="str">
        <f>+INDEX('Dizionario campi'!A:A,MATCH(B6,'Dizionario campi'!B:B,0),1)</f>
        <v>D41</v>
      </c>
      <c r="B6" t="s">
        <v>583</v>
      </c>
      <c r="C6" t="s">
        <v>23</v>
      </c>
      <c r="I6" t="s">
        <v>580</v>
      </c>
    </row>
    <row r="7" spans="1:9" x14ac:dyDescent="0.3">
      <c r="A7" t="str">
        <f>+INDEX('Dizionario campi'!A:A,MATCH(B7,'Dizionario campi'!B:B,0),1)</f>
        <v>D42</v>
      </c>
      <c r="B7" t="s">
        <v>581</v>
      </c>
      <c r="C7" t="s">
        <v>23</v>
      </c>
    </row>
    <row r="8" spans="1:9" x14ac:dyDescent="0.3">
      <c r="A8" t="str">
        <f>+INDEX('Dizionario campi'!A:A,MATCH(B8,'Dizionario campi'!B:B,0),1)</f>
        <v>D43</v>
      </c>
      <c r="B8" t="s">
        <v>584</v>
      </c>
      <c r="C8" t="s">
        <v>23</v>
      </c>
    </row>
    <row r="9" spans="1:9" x14ac:dyDescent="0.3">
      <c r="A9" t="str">
        <f>+INDEX('Dizionario campi'!A:A,MATCH(B9,'Dizionario campi'!B:B,0),1)</f>
        <v>D9</v>
      </c>
      <c r="B9" t="s">
        <v>38</v>
      </c>
      <c r="C9" t="s">
        <v>23</v>
      </c>
    </row>
    <row r="10" spans="1:9" x14ac:dyDescent="0.3">
      <c r="A10" t="str">
        <f>+INDEX('Dizionario campi'!A:A,MATCH(B10,'Dizionario campi'!B:B,0),1)</f>
        <v>D44</v>
      </c>
      <c r="B10" t="s">
        <v>585</v>
      </c>
      <c r="C10" t="s">
        <v>23</v>
      </c>
    </row>
    <row r="11" spans="1:9" x14ac:dyDescent="0.3">
      <c r="A11" t="str">
        <f>+INDEX('Dizionario campi'!A:A,MATCH(B11,'Dizionario campi'!B:B,0),1)</f>
        <v>D8</v>
      </c>
      <c r="B11" t="s">
        <v>36</v>
      </c>
      <c r="C11" t="s">
        <v>23</v>
      </c>
    </row>
    <row r="12" spans="1:9" x14ac:dyDescent="0.3">
      <c r="A12" t="str">
        <f>+INDEX('Dizionario campi'!A:A,MATCH(B12,'Dizionario campi'!B:B,0),1)</f>
        <v>D38</v>
      </c>
      <c r="B12" t="s">
        <v>562</v>
      </c>
      <c r="C12" t="s">
        <v>23</v>
      </c>
    </row>
    <row r="13" spans="1:9" x14ac:dyDescent="0.3">
      <c r="A13" t="str">
        <f>+INDEX('Dizionario campi'!A:A,MATCH(B13,'Dizionario campi'!B:B,0),1)</f>
        <v>D7</v>
      </c>
      <c r="B13" t="s">
        <v>34</v>
      </c>
      <c r="C13" t="s">
        <v>23</v>
      </c>
    </row>
    <row r="14" spans="1:9" x14ac:dyDescent="0.3">
      <c r="A14" t="str">
        <f>+INDEX('Dizionario campi'!A:A,MATCH(B14,'Dizionario campi'!B:B,0),1)</f>
        <v>D39</v>
      </c>
      <c r="B14" t="s">
        <v>563</v>
      </c>
      <c r="C14" t="s">
        <v>23</v>
      </c>
    </row>
    <row r="15" spans="1:9" x14ac:dyDescent="0.3">
      <c r="A15" t="str">
        <f>+INDEX('Dizionario campi'!A:A,MATCH(B15,'Dizionario campi'!B:B,0),1)</f>
        <v>D40</v>
      </c>
      <c r="B15" t="s">
        <v>564</v>
      </c>
      <c r="C15" t="s">
        <v>23</v>
      </c>
    </row>
  </sheetData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F9AD-4409-484A-A993-D49F9C71FB88}">
  <dimension ref="A1:H154"/>
  <sheetViews>
    <sheetView zoomScale="92" workbookViewId="0">
      <selection activeCell="D12" sqref="D12"/>
    </sheetView>
  </sheetViews>
  <sheetFormatPr defaultRowHeight="14.4" x14ac:dyDescent="0.3"/>
  <cols>
    <col min="1" max="1" width="14.44140625" bestFit="1" customWidth="1"/>
    <col min="2" max="2" width="48.5546875" bestFit="1" customWidth="1"/>
    <col min="3" max="3" width="25.88671875" bestFit="1" customWidth="1"/>
    <col min="4" max="4" width="20.33203125" bestFit="1" customWidth="1"/>
    <col min="5" max="5" width="24.109375" customWidth="1"/>
    <col min="6" max="6" width="12.6640625" bestFit="1" customWidth="1"/>
    <col min="7" max="7" width="48.5546875" bestFit="1" customWidth="1"/>
    <col min="8" max="8" width="23.5546875" bestFit="1" customWidth="1"/>
  </cols>
  <sheetData>
    <row r="1" spans="1:8" x14ac:dyDescent="0.3">
      <c r="A1" s="37" t="s">
        <v>50</v>
      </c>
      <c r="B1" s="11" t="s">
        <v>53</v>
      </c>
      <c r="C1" s="11" t="s">
        <v>512</v>
      </c>
      <c r="D1" s="37" t="s">
        <v>180</v>
      </c>
      <c r="E1" s="11" t="s">
        <v>178</v>
      </c>
      <c r="F1" s="11" t="s">
        <v>491</v>
      </c>
      <c r="G1" s="11" t="s">
        <v>492</v>
      </c>
      <c r="H1" s="37" t="s">
        <v>528</v>
      </c>
    </row>
    <row r="2" spans="1:8" x14ac:dyDescent="0.3">
      <c r="A2" t="s">
        <v>181</v>
      </c>
      <c r="B2" t="s">
        <v>420</v>
      </c>
      <c r="C2" t="s">
        <v>502</v>
      </c>
      <c r="D2" t="s">
        <v>329</v>
      </c>
      <c r="E2" t="s">
        <v>404</v>
      </c>
      <c r="F2" t="s">
        <v>418</v>
      </c>
      <c r="G2" t="s">
        <v>420</v>
      </c>
      <c r="H2" t="s">
        <v>531</v>
      </c>
    </row>
    <row r="3" spans="1:8" x14ac:dyDescent="0.3">
      <c r="A3" t="s">
        <v>182</v>
      </c>
      <c r="B3" t="s">
        <v>421</v>
      </c>
      <c r="C3" t="s">
        <v>502</v>
      </c>
      <c r="D3" t="s">
        <v>330</v>
      </c>
      <c r="E3" t="s">
        <v>404</v>
      </c>
      <c r="F3" t="s">
        <v>418</v>
      </c>
      <c r="G3" t="s">
        <v>421</v>
      </c>
      <c r="H3" t="s">
        <v>531</v>
      </c>
    </row>
    <row r="4" spans="1:8" x14ac:dyDescent="0.3">
      <c r="A4" t="s">
        <v>183</v>
      </c>
      <c r="B4" t="s">
        <v>422</v>
      </c>
      <c r="C4" t="s">
        <v>502</v>
      </c>
      <c r="D4" t="s">
        <v>331</v>
      </c>
      <c r="E4" t="s">
        <v>404</v>
      </c>
      <c r="F4" t="s">
        <v>418</v>
      </c>
      <c r="G4" t="s">
        <v>422</v>
      </c>
      <c r="H4" t="s">
        <v>531</v>
      </c>
    </row>
    <row r="5" spans="1:8" x14ac:dyDescent="0.3">
      <c r="A5" t="s">
        <v>184</v>
      </c>
      <c r="B5" t="s">
        <v>423</v>
      </c>
      <c r="C5" t="s">
        <v>502</v>
      </c>
      <c r="D5" t="s">
        <v>332</v>
      </c>
      <c r="E5" t="s">
        <v>404</v>
      </c>
      <c r="F5" t="s">
        <v>418</v>
      </c>
      <c r="G5" t="s">
        <v>423</v>
      </c>
      <c r="H5" t="s">
        <v>531</v>
      </c>
    </row>
    <row r="6" spans="1:8" x14ac:dyDescent="0.3">
      <c r="A6" t="s">
        <v>185</v>
      </c>
      <c r="B6" t="s">
        <v>424</v>
      </c>
      <c r="C6" t="s">
        <v>503</v>
      </c>
      <c r="D6" t="s">
        <v>333</v>
      </c>
      <c r="E6" t="s">
        <v>405</v>
      </c>
      <c r="F6" t="s">
        <v>418</v>
      </c>
      <c r="G6" t="s">
        <v>424</v>
      </c>
      <c r="H6" t="s">
        <v>531</v>
      </c>
    </row>
    <row r="7" spans="1:8" x14ac:dyDescent="0.3">
      <c r="A7" t="s">
        <v>186</v>
      </c>
      <c r="B7" t="s">
        <v>425</v>
      </c>
      <c r="C7" t="s">
        <v>503</v>
      </c>
      <c r="D7" t="s">
        <v>334</v>
      </c>
      <c r="E7" t="s">
        <v>405</v>
      </c>
      <c r="F7" t="s">
        <v>418</v>
      </c>
      <c r="G7" t="s">
        <v>425</v>
      </c>
      <c r="H7" t="s">
        <v>531</v>
      </c>
    </row>
    <row r="8" spans="1:8" x14ac:dyDescent="0.3">
      <c r="A8" t="s">
        <v>187</v>
      </c>
      <c r="B8" t="s">
        <v>425</v>
      </c>
      <c r="C8" t="s">
        <v>503</v>
      </c>
      <c r="D8" t="s">
        <v>334</v>
      </c>
      <c r="E8" t="s">
        <v>405</v>
      </c>
      <c r="F8" t="s">
        <v>418</v>
      </c>
      <c r="G8" t="s">
        <v>425</v>
      </c>
      <c r="H8" t="s">
        <v>531</v>
      </c>
    </row>
    <row r="9" spans="1:8" x14ac:dyDescent="0.3">
      <c r="A9" t="s">
        <v>188</v>
      </c>
      <c r="B9" t="s">
        <v>424</v>
      </c>
      <c r="C9" t="s">
        <v>503</v>
      </c>
      <c r="D9" t="s">
        <v>333</v>
      </c>
      <c r="E9" t="s">
        <v>405</v>
      </c>
      <c r="F9" t="s">
        <v>418</v>
      </c>
      <c r="G9" t="s">
        <v>424</v>
      </c>
      <c r="H9" t="s">
        <v>531</v>
      </c>
    </row>
    <row r="10" spans="1:8" x14ac:dyDescent="0.3">
      <c r="A10" t="s">
        <v>189</v>
      </c>
      <c r="B10" t="s">
        <v>426</v>
      </c>
      <c r="C10" t="s">
        <v>503</v>
      </c>
      <c r="D10" t="s">
        <v>335</v>
      </c>
      <c r="E10" t="s">
        <v>405</v>
      </c>
      <c r="F10" t="s">
        <v>418</v>
      </c>
      <c r="G10" t="s">
        <v>426</v>
      </c>
      <c r="H10" t="s">
        <v>531</v>
      </c>
    </row>
    <row r="11" spans="1:8" x14ac:dyDescent="0.3">
      <c r="A11" t="s">
        <v>190</v>
      </c>
      <c r="B11" t="s">
        <v>427</v>
      </c>
      <c r="C11" t="s">
        <v>503</v>
      </c>
      <c r="D11" t="s">
        <v>336</v>
      </c>
      <c r="E11" t="s">
        <v>405</v>
      </c>
      <c r="F11" t="s">
        <v>418</v>
      </c>
      <c r="G11" t="s">
        <v>427</v>
      </c>
      <c r="H11" t="s">
        <v>531</v>
      </c>
    </row>
    <row r="12" spans="1:8" x14ac:dyDescent="0.3">
      <c r="A12" t="s">
        <v>191</v>
      </c>
      <c r="B12" t="s">
        <v>428</v>
      </c>
      <c r="C12" t="s">
        <v>503</v>
      </c>
      <c r="D12" t="s">
        <v>337</v>
      </c>
      <c r="E12" t="s">
        <v>405</v>
      </c>
      <c r="F12" t="s">
        <v>418</v>
      </c>
      <c r="G12" t="s">
        <v>428</v>
      </c>
      <c r="H12" t="s">
        <v>531</v>
      </c>
    </row>
    <row r="13" spans="1:8" x14ac:dyDescent="0.3">
      <c r="A13" t="s">
        <v>192</v>
      </c>
      <c r="B13" t="s">
        <v>428</v>
      </c>
      <c r="C13" t="s">
        <v>503</v>
      </c>
      <c r="D13" t="s">
        <v>337</v>
      </c>
      <c r="E13" t="s">
        <v>405</v>
      </c>
      <c r="F13" t="s">
        <v>418</v>
      </c>
      <c r="G13" t="s">
        <v>428</v>
      </c>
      <c r="H13" t="s">
        <v>531</v>
      </c>
    </row>
    <row r="14" spans="1:8" x14ac:dyDescent="0.3">
      <c r="A14" t="s">
        <v>193</v>
      </c>
      <c r="B14" t="s">
        <v>429</v>
      </c>
      <c r="C14" t="s">
        <v>503</v>
      </c>
      <c r="D14" t="s">
        <v>338</v>
      </c>
      <c r="E14" t="s">
        <v>405</v>
      </c>
      <c r="F14" t="s">
        <v>418</v>
      </c>
      <c r="G14" t="s">
        <v>429</v>
      </c>
      <c r="H14" t="s">
        <v>531</v>
      </c>
    </row>
    <row r="15" spans="1:8" x14ac:dyDescent="0.3">
      <c r="A15" t="s">
        <v>194</v>
      </c>
      <c r="B15" t="s">
        <v>430</v>
      </c>
      <c r="C15" t="s">
        <v>503</v>
      </c>
      <c r="D15" t="s">
        <v>339</v>
      </c>
      <c r="E15" t="s">
        <v>405</v>
      </c>
      <c r="F15" t="s">
        <v>418</v>
      </c>
      <c r="G15" t="s">
        <v>430</v>
      </c>
      <c r="H15" t="s">
        <v>531</v>
      </c>
    </row>
    <row r="16" spans="1:8" x14ac:dyDescent="0.3">
      <c r="A16" t="s">
        <v>195</v>
      </c>
      <c r="B16" t="s">
        <v>431</v>
      </c>
      <c r="C16" t="s">
        <v>504</v>
      </c>
      <c r="D16" t="s">
        <v>340</v>
      </c>
      <c r="E16" t="s">
        <v>406</v>
      </c>
      <c r="F16" t="s">
        <v>418</v>
      </c>
      <c r="G16" t="s">
        <v>431</v>
      </c>
      <c r="H16" t="s">
        <v>531</v>
      </c>
    </row>
    <row r="17" spans="1:8" x14ac:dyDescent="0.3">
      <c r="A17" t="s">
        <v>196</v>
      </c>
      <c r="B17" t="s">
        <v>432</v>
      </c>
      <c r="C17" t="s">
        <v>503</v>
      </c>
      <c r="D17" t="s">
        <v>341</v>
      </c>
      <c r="E17" t="s">
        <v>405</v>
      </c>
      <c r="F17" t="s">
        <v>418</v>
      </c>
      <c r="G17" t="s">
        <v>432</v>
      </c>
      <c r="H17" t="s">
        <v>531</v>
      </c>
    </row>
    <row r="18" spans="1:8" x14ac:dyDescent="0.3">
      <c r="A18" t="s">
        <v>197</v>
      </c>
      <c r="B18" t="s">
        <v>433</v>
      </c>
      <c r="C18" t="s">
        <v>503</v>
      </c>
      <c r="D18" t="s">
        <v>342</v>
      </c>
      <c r="E18" t="s">
        <v>405</v>
      </c>
      <c r="F18" t="s">
        <v>418</v>
      </c>
      <c r="G18" t="s">
        <v>433</v>
      </c>
      <c r="H18" t="s">
        <v>531</v>
      </c>
    </row>
    <row r="19" spans="1:8" x14ac:dyDescent="0.3">
      <c r="A19" t="s">
        <v>198</v>
      </c>
      <c r="B19" t="s">
        <v>434</v>
      </c>
      <c r="C19" t="s">
        <v>503</v>
      </c>
      <c r="D19" t="s">
        <v>343</v>
      </c>
      <c r="E19" t="s">
        <v>405</v>
      </c>
      <c r="F19" t="s">
        <v>418</v>
      </c>
      <c r="G19" t="s">
        <v>434</v>
      </c>
      <c r="H19" t="s">
        <v>531</v>
      </c>
    </row>
    <row r="20" spans="1:8" x14ac:dyDescent="0.3">
      <c r="A20" t="s">
        <v>199</v>
      </c>
      <c r="B20" t="s">
        <v>435</v>
      </c>
      <c r="C20" t="s">
        <v>503</v>
      </c>
      <c r="D20" t="s">
        <v>344</v>
      </c>
      <c r="E20" t="s">
        <v>405</v>
      </c>
      <c r="F20" t="s">
        <v>418</v>
      </c>
      <c r="G20" t="s">
        <v>493</v>
      </c>
      <c r="H20" t="s">
        <v>531</v>
      </c>
    </row>
    <row r="21" spans="1:8" x14ac:dyDescent="0.3">
      <c r="A21" t="s">
        <v>200</v>
      </c>
      <c r="B21" t="s">
        <v>436</v>
      </c>
      <c r="C21" t="s">
        <v>504</v>
      </c>
      <c r="D21" t="s">
        <v>345</v>
      </c>
      <c r="E21" t="s">
        <v>406</v>
      </c>
      <c r="F21" t="s">
        <v>418</v>
      </c>
      <c r="G21" t="s">
        <v>436</v>
      </c>
      <c r="H21" t="s">
        <v>531</v>
      </c>
    </row>
    <row r="22" spans="1:8" x14ac:dyDescent="0.3">
      <c r="A22" t="s">
        <v>201</v>
      </c>
      <c r="B22" t="s">
        <v>432</v>
      </c>
      <c r="C22" t="s">
        <v>503</v>
      </c>
      <c r="D22" t="s">
        <v>341</v>
      </c>
      <c r="E22" t="s">
        <v>405</v>
      </c>
      <c r="F22" t="s">
        <v>418</v>
      </c>
      <c r="G22" t="s">
        <v>432</v>
      </c>
      <c r="H22" t="s">
        <v>531</v>
      </c>
    </row>
    <row r="23" spans="1:8" x14ac:dyDescent="0.3">
      <c r="A23" t="s">
        <v>202</v>
      </c>
      <c r="B23" t="s">
        <v>437</v>
      </c>
      <c r="C23" t="s">
        <v>503</v>
      </c>
      <c r="D23" t="s">
        <v>346</v>
      </c>
      <c r="E23" t="s">
        <v>405</v>
      </c>
      <c r="F23" t="s">
        <v>418</v>
      </c>
      <c r="G23" t="s">
        <v>437</v>
      </c>
      <c r="H23" t="s">
        <v>531</v>
      </c>
    </row>
    <row r="24" spans="1:8" x14ac:dyDescent="0.3">
      <c r="A24" t="s">
        <v>203</v>
      </c>
      <c r="B24" t="s">
        <v>437</v>
      </c>
      <c r="C24" t="s">
        <v>503</v>
      </c>
      <c r="D24" t="s">
        <v>346</v>
      </c>
      <c r="E24" t="s">
        <v>405</v>
      </c>
      <c r="F24" t="s">
        <v>418</v>
      </c>
      <c r="G24" t="s">
        <v>437</v>
      </c>
      <c r="H24" t="s">
        <v>531</v>
      </c>
    </row>
    <row r="25" spans="1:8" x14ac:dyDescent="0.3">
      <c r="A25" t="s">
        <v>204</v>
      </c>
      <c r="B25" t="s">
        <v>437</v>
      </c>
      <c r="C25" t="s">
        <v>503</v>
      </c>
      <c r="D25" t="s">
        <v>346</v>
      </c>
      <c r="E25" t="s">
        <v>405</v>
      </c>
      <c r="F25" t="s">
        <v>418</v>
      </c>
      <c r="G25" t="s">
        <v>437</v>
      </c>
      <c r="H25" t="s">
        <v>531</v>
      </c>
    </row>
    <row r="26" spans="1:8" x14ac:dyDescent="0.3">
      <c r="A26" t="s">
        <v>205</v>
      </c>
      <c r="B26" t="s">
        <v>437</v>
      </c>
      <c r="C26" t="s">
        <v>503</v>
      </c>
      <c r="D26" t="s">
        <v>346</v>
      </c>
      <c r="E26" t="s">
        <v>405</v>
      </c>
      <c r="F26" t="s">
        <v>418</v>
      </c>
      <c r="G26" t="s">
        <v>437</v>
      </c>
      <c r="H26" t="s">
        <v>531</v>
      </c>
    </row>
    <row r="27" spans="1:8" x14ac:dyDescent="0.3">
      <c r="A27" t="s">
        <v>206</v>
      </c>
      <c r="B27" t="s">
        <v>438</v>
      </c>
      <c r="C27" t="s">
        <v>503</v>
      </c>
      <c r="D27" t="s">
        <v>347</v>
      </c>
      <c r="E27" t="s">
        <v>405</v>
      </c>
      <c r="F27" t="s">
        <v>418</v>
      </c>
      <c r="G27" t="s">
        <v>438</v>
      </c>
      <c r="H27" t="s">
        <v>531</v>
      </c>
    </row>
    <row r="28" spans="1:8" x14ac:dyDescent="0.3">
      <c r="A28" t="s">
        <v>207</v>
      </c>
      <c r="B28" t="s">
        <v>439</v>
      </c>
      <c r="C28" t="s">
        <v>503</v>
      </c>
      <c r="D28" t="s">
        <v>348</v>
      </c>
      <c r="E28" t="s">
        <v>405</v>
      </c>
      <c r="F28" t="s">
        <v>418</v>
      </c>
      <c r="G28" t="s">
        <v>439</v>
      </c>
      <c r="H28" t="s">
        <v>531</v>
      </c>
    </row>
    <row r="29" spans="1:8" x14ac:dyDescent="0.3">
      <c r="A29" t="s">
        <v>208</v>
      </c>
      <c r="B29" t="s">
        <v>440</v>
      </c>
      <c r="C29" t="s">
        <v>503</v>
      </c>
      <c r="D29" t="s">
        <v>349</v>
      </c>
      <c r="E29" t="s">
        <v>405</v>
      </c>
      <c r="F29" t="s">
        <v>418</v>
      </c>
      <c r="G29" t="s">
        <v>440</v>
      </c>
      <c r="H29" t="s">
        <v>531</v>
      </c>
    </row>
    <row r="30" spans="1:8" x14ac:dyDescent="0.3">
      <c r="A30" t="s">
        <v>209</v>
      </c>
      <c r="B30" t="s">
        <v>441</v>
      </c>
      <c r="C30" t="s">
        <v>503</v>
      </c>
      <c r="D30" t="s">
        <v>350</v>
      </c>
      <c r="E30" t="s">
        <v>405</v>
      </c>
      <c r="F30" t="s">
        <v>418</v>
      </c>
      <c r="G30" t="s">
        <v>441</v>
      </c>
      <c r="H30" t="s">
        <v>531</v>
      </c>
    </row>
    <row r="31" spans="1:8" x14ac:dyDescent="0.3">
      <c r="A31" t="s">
        <v>210</v>
      </c>
      <c r="B31" t="s">
        <v>441</v>
      </c>
      <c r="C31" t="s">
        <v>503</v>
      </c>
      <c r="D31" t="s">
        <v>350</v>
      </c>
      <c r="E31" t="s">
        <v>405</v>
      </c>
      <c r="F31" t="s">
        <v>418</v>
      </c>
      <c r="G31" t="s">
        <v>441</v>
      </c>
      <c r="H31" t="s">
        <v>531</v>
      </c>
    </row>
    <row r="32" spans="1:8" x14ac:dyDescent="0.3">
      <c r="A32" t="s">
        <v>211</v>
      </c>
      <c r="B32" t="s">
        <v>440</v>
      </c>
      <c r="C32" t="s">
        <v>503</v>
      </c>
      <c r="D32" t="s">
        <v>349</v>
      </c>
      <c r="E32" t="s">
        <v>405</v>
      </c>
      <c r="F32" t="s">
        <v>418</v>
      </c>
      <c r="G32" t="s">
        <v>440</v>
      </c>
      <c r="H32" t="s">
        <v>531</v>
      </c>
    </row>
    <row r="33" spans="1:8" x14ac:dyDescent="0.3">
      <c r="A33" t="s">
        <v>212</v>
      </c>
      <c r="B33" t="s">
        <v>442</v>
      </c>
      <c r="C33" t="s">
        <v>503</v>
      </c>
      <c r="D33" t="s">
        <v>351</v>
      </c>
      <c r="E33" t="s">
        <v>405</v>
      </c>
      <c r="F33" t="s">
        <v>418</v>
      </c>
      <c r="G33" t="s">
        <v>442</v>
      </c>
      <c r="H33" t="s">
        <v>531</v>
      </c>
    </row>
    <row r="34" spans="1:8" x14ac:dyDescent="0.3">
      <c r="A34" t="s">
        <v>213</v>
      </c>
      <c r="B34" t="s">
        <v>442</v>
      </c>
      <c r="C34" t="s">
        <v>503</v>
      </c>
      <c r="D34" t="s">
        <v>351</v>
      </c>
      <c r="E34" t="s">
        <v>405</v>
      </c>
      <c r="F34" t="s">
        <v>418</v>
      </c>
      <c r="G34" t="s">
        <v>442</v>
      </c>
      <c r="H34" t="s">
        <v>531</v>
      </c>
    </row>
    <row r="35" spans="1:8" x14ac:dyDescent="0.3">
      <c r="A35" t="s">
        <v>214</v>
      </c>
      <c r="B35" t="s">
        <v>432</v>
      </c>
      <c r="C35" t="s">
        <v>503</v>
      </c>
      <c r="D35" t="s">
        <v>341</v>
      </c>
      <c r="E35" t="s">
        <v>405</v>
      </c>
      <c r="F35" t="s">
        <v>418</v>
      </c>
      <c r="G35" t="s">
        <v>432</v>
      </c>
      <c r="H35" t="s">
        <v>531</v>
      </c>
    </row>
    <row r="36" spans="1:8" x14ac:dyDescent="0.3">
      <c r="A36" t="s">
        <v>215</v>
      </c>
      <c r="B36" t="s">
        <v>432</v>
      </c>
      <c r="C36" t="s">
        <v>503</v>
      </c>
      <c r="D36" t="s">
        <v>341</v>
      </c>
      <c r="E36" t="s">
        <v>405</v>
      </c>
      <c r="F36" t="s">
        <v>418</v>
      </c>
      <c r="G36" t="s">
        <v>432</v>
      </c>
      <c r="H36" t="s">
        <v>531</v>
      </c>
    </row>
    <row r="37" spans="1:8" x14ac:dyDescent="0.3">
      <c r="A37" t="s">
        <v>216</v>
      </c>
      <c r="B37" t="s">
        <v>443</v>
      </c>
      <c r="C37" t="s">
        <v>503</v>
      </c>
      <c r="D37" t="s">
        <v>352</v>
      </c>
      <c r="E37" t="s">
        <v>405</v>
      </c>
      <c r="F37" t="s">
        <v>418</v>
      </c>
      <c r="G37" t="s">
        <v>443</v>
      </c>
      <c r="H37" t="s">
        <v>531</v>
      </c>
    </row>
    <row r="38" spans="1:8" x14ac:dyDescent="0.3">
      <c r="A38" t="s">
        <v>217</v>
      </c>
      <c r="B38" t="s">
        <v>432</v>
      </c>
      <c r="C38" t="s">
        <v>503</v>
      </c>
      <c r="D38" t="s">
        <v>341</v>
      </c>
      <c r="E38" t="s">
        <v>405</v>
      </c>
      <c r="F38" t="s">
        <v>418</v>
      </c>
      <c r="G38" t="s">
        <v>432</v>
      </c>
      <c r="H38" t="s">
        <v>531</v>
      </c>
    </row>
    <row r="39" spans="1:8" x14ac:dyDescent="0.3">
      <c r="A39" t="s">
        <v>218</v>
      </c>
      <c r="B39" t="s">
        <v>444</v>
      </c>
      <c r="C39" t="s">
        <v>503</v>
      </c>
      <c r="D39" t="s">
        <v>353</v>
      </c>
      <c r="E39" t="s">
        <v>405</v>
      </c>
      <c r="F39" t="s">
        <v>418</v>
      </c>
      <c r="G39" t="s">
        <v>444</v>
      </c>
      <c r="H39" t="s">
        <v>531</v>
      </c>
    </row>
    <row r="40" spans="1:8" x14ac:dyDescent="0.3">
      <c r="A40" t="s">
        <v>219</v>
      </c>
      <c r="B40" t="s">
        <v>444</v>
      </c>
      <c r="C40" t="s">
        <v>503</v>
      </c>
      <c r="D40" t="s">
        <v>353</v>
      </c>
      <c r="E40" t="s">
        <v>405</v>
      </c>
      <c r="F40" t="s">
        <v>418</v>
      </c>
      <c r="G40" t="s">
        <v>444</v>
      </c>
      <c r="H40" t="s">
        <v>531</v>
      </c>
    </row>
    <row r="41" spans="1:8" x14ac:dyDescent="0.3">
      <c r="A41" t="s">
        <v>220</v>
      </c>
      <c r="B41" t="s">
        <v>444</v>
      </c>
      <c r="C41" t="s">
        <v>503</v>
      </c>
      <c r="D41" t="s">
        <v>353</v>
      </c>
      <c r="E41" t="s">
        <v>405</v>
      </c>
      <c r="F41" t="s">
        <v>418</v>
      </c>
      <c r="G41" t="s">
        <v>444</v>
      </c>
      <c r="H41" t="s">
        <v>531</v>
      </c>
    </row>
    <row r="42" spans="1:8" x14ac:dyDescent="0.3">
      <c r="A42" t="s">
        <v>221</v>
      </c>
      <c r="B42" t="s">
        <v>444</v>
      </c>
      <c r="C42" t="s">
        <v>503</v>
      </c>
      <c r="D42" t="s">
        <v>353</v>
      </c>
      <c r="E42" t="s">
        <v>405</v>
      </c>
      <c r="F42" t="s">
        <v>418</v>
      </c>
      <c r="G42" t="s">
        <v>444</v>
      </c>
      <c r="H42" t="s">
        <v>531</v>
      </c>
    </row>
    <row r="43" spans="1:8" x14ac:dyDescent="0.3">
      <c r="A43" t="s">
        <v>222</v>
      </c>
      <c r="B43" t="s">
        <v>444</v>
      </c>
      <c r="C43" t="s">
        <v>503</v>
      </c>
      <c r="D43" t="s">
        <v>353</v>
      </c>
      <c r="E43" t="s">
        <v>405</v>
      </c>
      <c r="F43" t="s">
        <v>418</v>
      </c>
      <c r="G43" t="s">
        <v>444</v>
      </c>
      <c r="H43" t="s">
        <v>531</v>
      </c>
    </row>
    <row r="44" spans="1:8" x14ac:dyDescent="0.3">
      <c r="A44" t="s">
        <v>223</v>
      </c>
      <c r="B44" t="s">
        <v>444</v>
      </c>
      <c r="C44" t="s">
        <v>503</v>
      </c>
      <c r="D44" t="s">
        <v>353</v>
      </c>
      <c r="E44" t="s">
        <v>405</v>
      </c>
      <c r="F44" t="s">
        <v>418</v>
      </c>
      <c r="G44" t="s">
        <v>444</v>
      </c>
      <c r="H44" t="s">
        <v>531</v>
      </c>
    </row>
    <row r="45" spans="1:8" x14ac:dyDescent="0.3">
      <c r="A45" t="s">
        <v>224</v>
      </c>
      <c r="B45" t="s">
        <v>441</v>
      </c>
      <c r="C45" t="s">
        <v>503</v>
      </c>
      <c r="D45" t="s">
        <v>350</v>
      </c>
      <c r="E45" t="s">
        <v>405</v>
      </c>
      <c r="F45" t="s">
        <v>418</v>
      </c>
      <c r="G45" t="s">
        <v>441</v>
      </c>
      <c r="H45" t="s">
        <v>531</v>
      </c>
    </row>
    <row r="46" spans="1:8" x14ac:dyDescent="0.3">
      <c r="A46" t="s">
        <v>225</v>
      </c>
      <c r="B46" t="s">
        <v>441</v>
      </c>
      <c r="C46" t="s">
        <v>503</v>
      </c>
      <c r="D46" t="s">
        <v>350</v>
      </c>
      <c r="E46" t="s">
        <v>405</v>
      </c>
      <c r="F46" t="s">
        <v>418</v>
      </c>
      <c r="G46" t="s">
        <v>441</v>
      </c>
      <c r="H46" t="s">
        <v>531</v>
      </c>
    </row>
    <row r="47" spans="1:8" x14ac:dyDescent="0.3">
      <c r="A47" t="s">
        <v>226</v>
      </c>
      <c r="B47" t="s">
        <v>445</v>
      </c>
      <c r="C47" t="s">
        <v>503</v>
      </c>
      <c r="D47" t="s">
        <v>354</v>
      </c>
      <c r="E47" t="s">
        <v>405</v>
      </c>
      <c r="F47" t="s">
        <v>418</v>
      </c>
      <c r="G47" t="s">
        <v>445</v>
      </c>
      <c r="H47" t="s">
        <v>531</v>
      </c>
    </row>
    <row r="48" spans="1:8" x14ac:dyDescent="0.3">
      <c r="A48" t="s">
        <v>227</v>
      </c>
      <c r="B48" t="s">
        <v>446</v>
      </c>
      <c r="C48" t="s">
        <v>503</v>
      </c>
      <c r="D48" t="s">
        <v>355</v>
      </c>
      <c r="E48" t="s">
        <v>405</v>
      </c>
      <c r="F48" t="s">
        <v>418</v>
      </c>
      <c r="G48" t="s">
        <v>446</v>
      </c>
      <c r="H48" t="s">
        <v>531</v>
      </c>
    </row>
    <row r="49" spans="1:8" x14ac:dyDescent="0.3">
      <c r="A49" t="s">
        <v>228</v>
      </c>
      <c r="B49" t="s">
        <v>446</v>
      </c>
      <c r="C49" t="s">
        <v>503</v>
      </c>
      <c r="D49" t="s">
        <v>355</v>
      </c>
      <c r="E49" t="s">
        <v>405</v>
      </c>
      <c r="F49" t="s">
        <v>418</v>
      </c>
      <c r="G49" t="s">
        <v>446</v>
      </c>
      <c r="H49" t="s">
        <v>531</v>
      </c>
    </row>
    <row r="50" spans="1:8" x14ac:dyDescent="0.3">
      <c r="A50" t="s">
        <v>229</v>
      </c>
      <c r="B50" t="s">
        <v>446</v>
      </c>
      <c r="C50" t="s">
        <v>503</v>
      </c>
      <c r="D50" t="s">
        <v>355</v>
      </c>
      <c r="E50" t="s">
        <v>405</v>
      </c>
      <c r="F50" t="s">
        <v>418</v>
      </c>
      <c r="G50" t="s">
        <v>446</v>
      </c>
      <c r="H50" t="s">
        <v>531</v>
      </c>
    </row>
    <row r="51" spans="1:8" x14ac:dyDescent="0.3">
      <c r="A51" t="s">
        <v>230</v>
      </c>
      <c r="B51" t="s">
        <v>446</v>
      </c>
      <c r="C51" t="s">
        <v>503</v>
      </c>
      <c r="D51" t="s">
        <v>355</v>
      </c>
      <c r="E51" t="s">
        <v>405</v>
      </c>
      <c r="F51" t="s">
        <v>418</v>
      </c>
      <c r="G51" t="s">
        <v>446</v>
      </c>
      <c r="H51" t="s">
        <v>531</v>
      </c>
    </row>
    <row r="52" spans="1:8" x14ac:dyDescent="0.3">
      <c r="A52" t="s">
        <v>231</v>
      </c>
      <c r="B52" t="s">
        <v>432</v>
      </c>
      <c r="C52" t="s">
        <v>503</v>
      </c>
      <c r="D52" t="s">
        <v>341</v>
      </c>
      <c r="E52" t="s">
        <v>405</v>
      </c>
      <c r="F52" t="s">
        <v>418</v>
      </c>
      <c r="G52" t="s">
        <v>432</v>
      </c>
      <c r="H52" t="s">
        <v>531</v>
      </c>
    </row>
    <row r="53" spans="1:8" x14ac:dyDescent="0.3">
      <c r="A53" t="s">
        <v>232</v>
      </c>
      <c r="B53" t="s">
        <v>447</v>
      </c>
      <c r="C53" t="s">
        <v>503</v>
      </c>
      <c r="D53" t="s">
        <v>356</v>
      </c>
      <c r="E53" t="s">
        <v>405</v>
      </c>
      <c r="F53" t="s">
        <v>418</v>
      </c>
      <c r="G53" t="s">
        <v>447</v>
      </c>
      <c r="H53" t="s">
        <v>531</v>
      </c>
    </row>
    <row r="54" spans="1:8" x14ac:dyDescent="0.3">
      <c r="A54" t="s">
        <v>233</v>
      </c>
      <c r="B54" t="s">
        <v>447</v>
      </c>
      <c r="C54" t="s">
        <v>503</v>
      </c>
      <c r="D54" t="s">
        <v>356</v>
      </c>
      <c r="E54" t="s">
        <v>405</v>
      </c>
      <c r="F54" t="s">
        <v>418</v>
      </c>
      <c r="G54" t="s">
        <v>447</v>
      </c>
      <c r="H54" t="s">
        <v>531</v>
      </c>
    </row>
    <row r="55" spans="1:8" x14ac:dyDescent="0.3">
      <c r="A55" t="s">
        <v>234</v>
      </c>
      <c r="B55" t="s">
        <v>447</v>
      </c>
      <c r="C55" t="s">
        <v>503</v>
      </c>
      <c r="D55" t="s">
        <v>356</v>
      </c>
      <c r="E55" t="s">
        <v>405</v>
      </c>
      <c r="F55" t="s">
        <v>418</v>
      </c>
      <c r="G55" t="s">
        <v>447</v>
      </c>
      <c r="H55" t="s">
        <v>531</v>
      </c>
    </row>
    <row r="56" spans="1:8" x14ac:dyDescent="0.3">
      <c r="A56" t="s">
        <v>235</v>
      </c>
      <c r="B56" t="s">
        <v>447</v>
      </c>
      <c r="C56" t="s">
        <v>503</v>
      </c>
      <c r="D56" t="s">
        <v>356</v>
      </c>
      <c r="E56" t="s">
        <v>405</v>
      </c>
      <c r="F56" t="s">
        <v>418</v>
      </c>
      <c r="G56" t="s">
        <v>447</v>
      </c>
      <c r="H56" t="s">
        <v>531</v>
      </c>
    </row>
    <row r="57" spans="1:8" x14ac:dyDescent="0.3">
      <c r="A57" t="s">
        <v>236</v>
      </c>
      <c r="B57" t="s">
        <v>447</v>
      </c>
      <c r="C57" t="s">
        <v>503</v>
      </c>
      <c r="D57" t="s">
        <v>356</v>
      </c>
      <c r="E57" t="s">
        <v>405</v>
      </c>
      <c r="F57" t="s">
        <v>418</v>
      </c>
      <c r="G57" t="s">
        <v>447</v>
      </c>
      <c r="H57" t="s">
        <v>531</v>
      </c>
    </row>
    <row r="58" spans="1:8" x14ac:dyDescent="0.3">
      <c r="A58" t="s">
        <v>237</v>
      </c>
      <c r="B58" t="s">
        <v>448</v>
      </c>
      <c r="C58" t="s">
        <v>165</v>
      </c>
      <c r="D58" t="s">
        <v>357</v>
      </c>
      <c r="E58" t="s">
        <v>166</v>
      </c>
      <c r="F58" t="s">
        <v>419</v>
      </c>
      <c r="G58" t="s">
        <v>494</v>
      </c>
      <c r="H58" t="s">
        <v>531</v>
      </c>
    </row>
    <row r="59" spans="1:8" x14ac:dyDescent="0.3">
      <c r="A59" t="s">
        <v>238</v>
      </c>
      <c r="B59" t="s">
        <v>449</v>
      </c>
      <c r="C59" t="s">
        <v>159</v>
      </c>
      <c r="D59" t="s">
        <v>358</v>
      </c>
      <c r="E59" t="s">
        <v>160</v>
      </c>
      <c r="F59" t="s">
        <v>419</v>
      </c>
      <c r="G59" t="s">
        <v>449</v>
      </c>
      <c r="H59" t="s">
        <v>531</v>
      </c>
    </row>
    <row r="60" spans="1:8" x14ac:dyDescent="0.3">
      <c r="A60" t="s">
        <v>239</v>
      </c>
      <c r="B60" t="s">
        <v>450</v>
      </c>
      <c r="C60" t="s">
        <v>504</v>
      </c>
      <c r="D60" t="s">
        <v>340</v>
      </c>
      <c r="E60" t="s">
        <v>406</v>
      </c>
      <c r="F60" t="s">
        <v>418</v>
      </c>
      <c r="G60" t="s">
        <v>431</v>
      </c>
      <c r="H60" t="s">
        <v>531</v>
      </c>
    </row>
    <row r="61" spans="1:8" x14ac:dyDescent="0.3">
      <c r="A61" t="s">
        <v>240</v>
      </c>
      <c r="B61" t="s">
        <v>450</v>
      </c>
      <c r="C61" t="s">
        <v>504</v>
      </c>
      <c r="D61" t="s">
        <v>340</v>
      </c>
      <c r="E61" t="s">
        <v>406</v>
      </c>
      <c r="F61" t="s">
        <v>418</v>
      </c>
      <c r="G61" t="s">
        <v>431</v>
      </c>
      <c r="H61" t="s">
        <v>531</v>
      </c>
    </row>
    <row r="62" spans="1:8" x14ac:dyDescent="0.3">
      <c r="A62" t="s">
        <v>241</v>
      </c>
      <c r="B62" t="s">
        <v>451</v>
      </c>
      <c r="C62" t="s">
        <v>504</v>
      </c>
      <c r="D62" t="s">
        <v>359</v>
      </c>
      <c r="E62" t="s">
        <v>406</v>
      </c>
      <c r="F62" t="s">
        <v>418</v>
      </c>
      <c r="G62" t="s">
        <v>495</v>
      </c>
      <c r="H62" t="s">
        <v>531</v>
      </c>
    </row>
    <row r="63" spans="1:8" x14ac:dyDescent="0.3">
      <c r="A63" t="s">
        <v>242</v>
      </c>
      <c r="B63" t="s">
        <v>136</v>
      </c>
      <c r="C63" t="s">
        <v>135</v>
      </c>
      <c r="D63" t="s">
        <v>360</v>
      </c>
      <c r="E63" t="s">
        <v>136</v>
      </c>
      <c r="F63" t="s">
        <v>419</v>
      </c>
      <c r="G63" t="s">
        <v>136</v>
      </c>
      <c r="H63" t="s">
        <v>536</v>
      </c>
    </row>
    <row r="64" spans="1:8" x14ac:dyDescent="0.3">
      <c r="A64" t="s">
        <v>243</v>
      </c>
      <c r="B64" t="s">
        <v>141</v>
      </c>
      <c r="C64" t="s">
        <v>140</v>
      </c>
      <c r="D64" t="s">
        <v>361</v>
      </c>
      <c r="E64" t="s">
        <v>141</v>
      </c>
      <c r="F64" t="s">
        <v>419</v>
      </c>
      <c r="G64" t="s">
        <v>141</v>
      </c>
      <c r="H64" t="s">
        <v>530</v>
      </c>
    </row>
    <row r="65" spans="1:8" x14ac:dyDescent="0.3">
      <c r="A65" t="s">
        <v>244</v>
      </c>
      <c r="B65" t="s">
        <v>452</v>
      </c>
      <c r="C65" t="s">
        <v>504</v>
      </c>
      <c r="D65" t="s">
        <v>362</v>
      </c>
      <c r="E65" t="s">
        <v>406</v>
      </c>
      <c r="F65" t="s">
        <v>418</v>
      </c>
      <c r="G65" t="s">
        <v>496</v>
      </c>
      <c r="H65" t="s">
        <v>531</v>
      </c>
    </row>
    <row r="66" spans="1:8" x14ac:dyDescent="0.3">
      <c r="A66" t="s">
        <v>245</v>
      </c>
      <c r="B66" t="s">
        <v>92</v>
      </c>
      <c r="C66" t="s">
        <v>154</v>
      </c>
      <c r="D66" t="s">
        <v>363</v>
      </c>
      <c r="E66" t="s">
        <v>155</v>
      </c>
      <c r="F66" t="s">
        <v>419</v>
      </c>
      <c r="G66" t="s">
        <v>92</v>
      </c>
      <c r="H66" t="s">
        <v>531</v>
      </c>
    </row>
    <row r="67" spans="1:8" x14ac:dyDescent="0.3">
      <c r="A67" t="s">
        <v>246</v>
      </c>
      <c r="B67" t="s">
        <v>92</v>
      </c>
      <c r="C67" t="s">
        <v>154</v>
      </c>
      <c r="D67" t="s">
        <v>363</v>
      </c>
      <c r="E67" t="s">
        <v>155</v>
      </c>
      <c r="F67" t="s">
        <v>419</v>
      </c>
      <c r="G67" t="s">
        <v>92</v>
      </c>
      <c r="H67" t="s">
        <v>531</v>
      </c>
    </row>
    <row r="68" spans="1:8" x14ac:dyDescent="0.3">
      <c r="A68" t="s">
        <v>247</v>
      </c>
      <c r="B68" t="s">
        <v>453</v>
      </c>
      <c r="C68" t="s">
        <v>505</v>
      </c>
      <c r="D68" t="s">
        <v>364</v>
      </c>
      <c r="E68" t="s">
        <v>407</v>
      </c>
      <c r="F68" t="s">
        <v>418</v>
      </c>
      <c r="G68" t="s">
        <v>453</v>
      </c>
      <c r="H68" t="s">
        <v>531</v>
      </c>
    </row>
    <row r="69" spans="1:8" x14ac:dyDescent="0.3">
      <c r="A69" t="s">
        <v>248</v>
      </c>
      <c r="B69" t="s">
        <v>454</v>
      </c>
      <c r="C69" t="s">
        <v>502</v>
      </c>
      <c r="D69" t="s">
        <v>365</v>
      </c>
      <c r="E69" t="s">
        <v>404</v>
      </c>
      <c r="F69" t="s">
        <v>418</v>
      </c>
      <c r="G69" t="s">
        <v>454</v>
      </c>
      <c r="H69" t="s">
        <v>535</v>
      </c>
    </row>
    <row r="70" spans="1:8" x14ac:dyDescent="0.3">
      <c r="A70" t="s">
        <v>249</v>
      </c>
      <c r="B70" t="s">
        <v>455</v>
      </c>
      <c r="C70" t="s">
        <v>502</v>
      </c>
      <c r="D70" t="s">
        <v>366</v>
      </c>
      <c r="E70" t="s">
        <v>404</v>
      </c>
      <c r="F70" t="s">
        <v>418</v>
      </c>
      <c r="G70" t="s">
        <v>455</v>
      </c>
      <c r="H70" t="s">
        <v>532</v>
      </c>
    </row>
    <row r="71" spans="1:8" x14ac:dyDescent="0.3">
      <c r="A71" t="s">
        <v>250</v>
      </c>
      <c r="B71" t="s">
        <v>456</v>
      </c>
      <c r="C71" t="s">
        <v>505</v>
      </c>
      <c r="D71" t="s">
        <v>367</v>
      </c>
      <c r="E71" t="s">
        <v>407</v>
      </c>
      <c r="F71" t="s">
        <v>418</v>
      </c>
      <c r="G71" t="s">
        <v>456</v>
      </c>
      <c r="H71" t="s">
        <v>531</v>
      </c>
    </row>
    <row r="72" spans="1:8" x14ac:dyDescent="0.3">
      <c r="A72" t="s">
        <v>251</v>
      </c>
      <c r="B72" t="s">
        <v>457</v>
      </c>
      <c r="C72" t="s">
        <v>502</v>
      </c>
      <c r="D72" t="s">
        <v>368</v>
      </c>
      <c r="E72" t="s">
        <v>404</v>
      </c>
      <c r="F72" t="s">
        <v>418</v>
      </c>
      <c r="G72" t="s">
        <v>457</v>
      </c>
      <c r="H72" t="s">
        <v>531</v>
      </c>
    </row>
    <row r="73" spans="1:8" x14ac:dyDescent="0.3">
      <c r="A73" t="s">
        <v>252</v>
      </c>
      <c r="B73" t="s">
        <v>458</v>
      </c>
      <c r="C73" t="s">
        <v>502</v>
      </c>
      <c r="D73" t="s">
        <v>369</v>
      </c>
      <c r="E73" t="s">
        <v>404</v>
      </c>
      <c r="F73" t="s">
        <v>418</v>
      </c>
      <c r="G73" t="s">
        <v>458</v>
      </c>
      <c r="H73" t="s">
        <v>531</v>
      </c>
    </row>
    <row r="74" spans="1:8" x14ac:dyDescent="0.3">
      <c r="A74" t="s">
        <v>253</v>
      </c>
      <c r="B74" t="s">
        <v>458</v>
      </c>
      <c r="C74" t="s">
        <v>502</v>
      </c>
      <c r="D74" t="s">
        <v>369</v>
      </c>
      <c r="E74" t="s">
        <v>404</v>
      </c>
      <c r="F74" t="s">
        <v>418</v>
      </c>
      <c r="G74" t="s">
        <v>458</v>
      </c>
      <c r="H74" t="s">
        <v>531</v>
      </c>
    </row>
    <row r="75" spans="1:8" x14ac:dyDescent="0.3">
      <c r="A75" t="s">
        <v>254</v>
      </c>
      <c r="B75" t="s">
        <v>459</v>
      </c>
      <c r="C75" t="s">
        <v>506</v>
      </c>
      <c r="D75" t="s">
        <v>370</v>
      </c>
      <c r="E75" t="s">
        <v>408</v>
      </c>
      <c r="F75" t="s">
        <v>418</v>
      </c>
      <c r="G75" t="s">
        <v>459</v>
      </c>
      <c r="H75" t="s">
        <v>531</v>
      </c>
    </row>
    <row r="76" spans="1:8" x14ac:dyDescent="0.3">
      <c r="A76" t="s">
        <v>255</v>
      </c>
      <c r="B76" t="s">
        <v>459</v>
      </c>
      <c r="C76" t="s">
        <v>506</v>
      </c>
      <c r="D76" t="s">
        <v>370</v>
      </c>
      <c r="E76" t="s">
        <v>408</v>
      </c>
      <c r="F76" t="s">
        <v>418</v>
      </c>
      <c r="G76" t="s">
        <v>459</v>
      </c>
      <c r="H76" t="s">
        <v>531</v>
      </c>
    </row>
    <row r="77" spans="1:8" x14ac:dyDescent="0.3">
      <c r="A77" t="s">
        <v>256</v>
      </c>
      <c r="B77" t="s">
        <v>460</v>
      </c>
      <c r="C77" t="s">
        <v>506</v>
      </c>
      <c r="D77" t="s">
        <v>371</v>
      </c>
      <c r="E77" t="s">
        <v>408</v>
      </c>
      <c r="F77" t="s">
        <v>418</v>
      </c>
      <c r="G77" t="s">
        <v>460</v>
      </c>
      <c r="H77" t="s">
        <v>531</v>
      </c>
    </row>
    <row r="78" spans="1:8" x14ac:dyDescent="0.3">
      <c r="A78" t="s">
        <v>257</v>
      </c>
      <c r="B78" t="s">
        <v>460</v>
      </c>
      <c r="C78" t="s">
        <v>506</v>
      </c>
      <c r="D78" t="s">
        <v>371</v>
      </c>
      <c r="E78" t="s">
        <v>408</v>
      </c>
      <c r="F78" t="s">
        <v>418</v>
      </c>
      <c r="G78" t="s">
        <v>460</v>
      </c>
      <c r="H78" t="s">
        <v>531</v>
      </c>
    </row>
    <row r="79" spans="1:8" x14ac:dyDescent="0.3">
      <c r="A79" t="s">
        <v>258</v>
      </c>
      <c r="B79" t="s">
        <v>460</v>
      </c>
      <c r="C79" t="s">
        <v>506</v>
      </c>
      <c r="D79" t="s">
        <v>371</v>
      </c>
      <c r="E79" t="s">
        <v>408</v>
      </c>
      <c r="F79" t="s">
        <v>418</v>
      </c>
      <c r="G79" t="s">
        <v>460</v>
      </c>
      <c r="H79" t="s">
        <v>531</v>
      </c>
    </row>
    <row r="80" spans="1:8" x14ac:dyDescent="0.3">
      <c r="A80" t="s">
        <v>259</v>
      </c>
      <c r="B80" t="s">
        <v>460</v>
      </c>
      <c r="C80" t="s">
        <v>506</v>
      </c>
      <c r="D80" t="s">
        <v>371</v>
      </c>
      <c r="E80" t="s">
        <v>408</v>
      </c>
      <c r="F80" t="s">
        <v>418</v>
      </c>
      <c r="G80" t="s">
        <v>460</v>
      </c>
      <c r="H80" t="s">
        <v>531</v>
      </c>
    </row>
    <row r="81" spans="1:8" x14ac:dyDescent="0.3">
      <c r="A81" t="s">
        <v>260</v>
      </c>
      <c r="B81" t="s">
        <v>460</v>
      </c>
      <c r="C81" t="s">
        <v>506</v>
      </c>
      <c r="D81" t="s">
        <v>371</v>
      </c>
      <c r="E81" t="s">
        <v>408</v>
      </c>
      <c r="F81" t="s">
        <v>418</v>
      </c>
      <c r="G81" t="s">
        <v>460</v>
      </c>
      <c r="H81" t="s">
        <v>531</v>
      </c>
    </row>
    <row r="82" spans="1:8" x14ac:dyDescent="0.3">
      <c r="A82" t="s">
        <v>261</v>
      </c>
      <c r="B82" t="s">
        <v>460</v>
      </c>
      <c r="C82" t="s">
        <v>506</v>
      </c>
      <c r="D82" t="s">
        <v>371</v>
      </c>
      <c r="E82" t="s">
        <v>408</v>
      </c>
      <c r="F82" t="s">
        <v>418</v>
      </c>
      <c r="G82" t="s">
        <v>460</v>
      </c>
      <c r="H82" t="s">
        <v>531</v>
      </c>
    </row>
    <row r="83" spans="1:8" x14ac:dyDescent="0.3">
      <c r="A83" t="s">
        <v>262</v>
      </c>
      <c r="B83" t="s">
        <v>460</v>
      </c>
      <c r="C83" t="s">
        <v>506</v>
      </c>
      <c r="D83" t="s">
        <v>371</v>
      </c>
      <c r="E83" t="s">
        <v>408</v>
      </c>
      <c r="F83" t="s">
        <v>418</v>
      </c>
      <c r="G83" t="s">
        <v>460</v>
      </c>
      <c r="H83" t="s">
        <v>531</v>
      </c>
    </row>
    <row r="84" spans="1:8" x14ac:dyDescent="0.3">
      <c r="A84" t="s">
        <v>263</v>
      </c>
      <c r="B84" t="s">
        <v>460</v>
      </c>
      <c r="C84" t="s">
        <v>506</v>
      </c>
      <c r="D84" t="s">
        <v>371</v>
      </c>
      <c r="E84" t="s">
        <v>408</v>
      </c>
      <c r="F84" t="s">
        <v>418</v>
      </c>
      <c r="G84" t="s">
        <v>460</v>
      </c>
      <c r="H84" t="s">
        <v>531</v>
      </c>
    </row>
    <row r="85" spans="1:8" x14ac:dyDescent="0.3">
      <c r="A85" t="s">
        <v>264</v>
      </c>
      <c r="B85" t="s">
        <v>460</v>
      </c>
      <c r="C85" t="s">
        <v>506</v>
      </c>
      <c r="D85" t="s">
        <v>371</v>
      </c>
      <c r="E85" t="s">
        <v>408</v>
      </c>
      <c r="F85" t="s">
        <v>418</v>
      </c>
      <c r="G85" t="s">
        <v>460</v>
      </c>
      <c r="H85" t="s">
        <v>531</v>
      </c>
    </row>
    <row r="86" spans="1:8" x14ac:dyDescent="0.3">
      <c r="A86" t="s">
        <v>265</v>
      </c>
      <c r="B86" t="s">
        <v>461</v>
      </c>
      <c r="C86" t="s">
        <v>506</v>
      </c>
      <c r="D86" t="s">
        <v>372</v>
      </c>
      <c r="E86" t="s">
        <v>408</v>
      </c>
      <c r="F86" t="s">
        <v>418</v>
      </c>
      <c r="G86" t="s">
        <v>461</v>
      </c>
      <c r="H86" t="s">
        <v>531</v>
      </c>
    </row>
    <row r="87" spans="1:8" x14ac:dyDescent="0.3">
      <c r="A87" t="s">
        <v>266</v>
      </c>
      <c r="B87" t="s">
        <v>432</v>
      </c>
      <c r="C87" t="s">
        <v>503</v>
      </c>
      <c r="D87" t="s">
        <v>341</v>
      </c>
      <c r="E87" t="s">
        <v>405</v>
      </c>
      <c r="F87" t="s">
        <v>418</v>
      </c>
      <c r="G87" t="s">
        <v>432</v>
      </c>
      <c r="H87" t="s">
        <v>531</v>
      </c>
    </row>
    <row r="88" spans="1:8" x14ac:dyDescent="0.3">
      <c r="A88" t="s">
        <v>267</v>
      </c>
      <c r="B88" t="s">
        <v>462</v>
      </c>
      <c r="C88" t="s">
        <v>507</v>
      </c>
      <c r="D88" t="s">
        <v>373</v>
      </c>
      <c r="E88" t="s">
        <v>409</v>
      </c>
      <c r="F88" t="s">
        <v>418</v>
      </c>
      <c r="G88" t="s">
        <v>462</v>
      </c>
      <c r="H88" t="s">
        <v>530</v>
      </c>
    </row>
    <row r="89" spans="1:8" x14ac:dyDescent="0.3">
      <c r="A89" t="s">
        <v>268</v>
      </c>
      <c r="B89" t="s">
        <v>462</v>
      </c>
      <c r="C89" t="s">
        <v>507</v>
      </c>
      <c r="D89" t="s">
        <v>373</v>
      </c>
      <c r="E89" t="s">
        <v>409</v>
      </c>
      <c r="F89" t="s">
        <v>418</v>
      </c>
      <c r="G89" t="s">
        <v>462</v>
      </c>
      <c r="H89" t="s">
        <v>530</v>
      </c>
    </row>
    <row r="90" spans="1:8" x14ac:dyDescent="0.3">
      <c r="A90" t="s">
        <v>269</v>
      </c>
      <c r="B90" t="s">
        <v>463</v>
      </c>
      <c r="C90" t="s">
        <v>508</v>
      </c>
      <c r="D90" t="s">
        <v>374</v>
      </c>
      <c r="E90" t="s">
        <v>410</v>
      </c>
      <c r="F90" t="s">
        <v>418</v>
      </c>
      <c r="G90" t="s">
        <v>463</v>
      </c>
      <c r="H90" t="s">
        <v>530</v>
      </c>
    </row>
    <row r="91" spans="1:8" x14ac:dyDescent="0.3">
      <c r="A91" t="s">
        <v>270</v>
      </c>
      <c r="B91" t="s">
        <v>463</v>
      </c>
      <c r="C91" t="s">
        <v>508</v>
      </c>
      <c r="D91" t="s">
        <v>374</v>
      </c>
      <c r="E91" t="s">
        <v>410</v>
      </c>
      <c r="F91" t="s">
        <v>418</v>
      </c>
      <c r="G91" t="s">
        <v>463</v>
      </c>
      <c r="H91" t="s">
        <v>530</v>
      </c>
    </row>
    <row r="92" spans="1:8" x14ac:dyDescent="0.3">
      <c r="A92" t="s">
        <v>271</v>
      </c>
      <c r="B92" t="s">
        <v>463</v>
      </c>
      <c r="C92" t="s">
        <v>508</v>
      </c>
      <c r="D92" t="s">
        <v>374</v>
      </c>
      <c r="E92" t="s">
        <v>410</v>
      </c>
      <c r="F92" t="s">
        <v>418</v>
      </c>
      <c r="G92" t="s">
        <v>463</v>
      </c>
      <c r="H92" t="s">
        <v>530</v>
      </c>
    </row>
    <row r="93" spans="1:8" x14ac:dyDescent="0.3">
      <c r="A93" t="s">
        <v>272</v>
      </c>
      <c r="B93" t="s">
        <v>463</v>
      </c>
      <c r="C93" t="s">
        <v>508</v>
      </c>
      <c r="D93" t="s">
        <v>374</v>
      </c>
      <c r="E93" t="s">
        <v>410</v>
      </c>
      <c r="F93" t="s">
        <v>418</v>
      </c>
      <c r="G93" t="s">
        <v>463</v>
      </c>
      <c r="H93" t="s">
        <v>530</v>
      </c>
    </row>
    <row r="94" spans="1:8" x14ac:dyDescent="0.3">
      <c r="A94" t="s">
        <v>273</v>
      </c>
      <c r="B94" t="s">
        <v>464</v>
      </c>
      <c r="C94" t="s">
        <v>507</v>
      </c>
      <c r="D94" t="s">
        <v>375</v>
      </c>
      <c r="E94" t="s">
        <v>409</v>
      </c>
      <c r="F94" t="s">
        <v>418</v>
      </c>
      <c r="G94" t="s">
        <v>464</v>
      </c>
      <c r="H94" t="s">
        <v>530</v>
      </c>
    </row>
    <row r="95" spans="1:8" x14ac:dyDescent="0.3">
      <c r="A95" t="s">
        <v>274</v>
      </c>
      <c r="B95" t="s">
        <v>465</v>
      </c>
      <c r="C95" t="s">
        <v>509</v>
      </c>
      <c r="D95" t="s">
        <v>376</v>
      </c>
      <c r="E95" t="s">
        <v>411</v>
      </c>
      <c r="F95" t="s">
        <v>418</v>
      </c>
      <c r="G95" t="s">
        <v>465</v>
      </c>
      <c r="H95" t="s">
        <v>531</v>
      </c>
    </row>
    <row r="96" spans="1:8" x14ac:dyDescent="0.3">
      <c r="A96" t="s">
        <v>275</v>
      </c>
      <c r="B96" t="s">
        <v>466</v>
      </c>
      <c r="C96" t="s">
        <v>509</v>
      </c>
      <c r="D96" t="s">
        <v>377</v>
      </c>
      <c r="E96" t="s">
        <v>411</v>
      </c>
      <c r="F96" t="s">
        <v>418</v>
      </c>
      <c r="G96" t="s">
        <v>466</v>
      </c>
      <c r="H96" t="s">
        <v>531</v>
      </c>
    </row>
    <row r="97" spans="1:8" x14ac:dyDescent="0.3">
      <c r="A97" t="s">
        <v>276</v>
      </c>
      <c r="B97" t="s">
        <v>467</v>
      </c>
      <c r="C97" t="s">
        <v>509</v>
      </c>
      <c r="D97" t="s">
        <v>378</v>
      </c>
      <c r="E97" t="s">
        <v>411</v>
      </c>
      <c r="F97" t="s">
        <v>418</v>
      </c>
      <c r="G97" t="s">
        <v>467</v>
      </c>
      <c r="H97" t="s">
        <v>531</v>
      </c>
    </row>
    <row r="98" spans="1:8" x14ac:dyDescent="0.3">
      <c r="A98" t="s">
        <v>277</v>
      </c>
      <c r="B98" t="s">
        <v>468</v>
      </c>
      <c r="C98" t="s">
        <v>509</v>
      </c>
      <c r="D98" t="s">
        <v>379</v>
      </c>
      <c r="E98" t="s">
        <v>411</v>
      </c>
      <c r="F98" t="s">
        <v>418</v>
      </c>
      <c r="G98" t="s">
        <v>468</v>
      </c>
      <c r="H98" t="s">
        <v>531</v>
      </c>
    </row>
    <row r="99" spans="1:8" x14ac:dyDescent="0.3">
      <c r="A99" t="s">
        <v>278</v>
      </c>
      <c r="B99" t="s">
        <v>466</v>
      </c>
      <c r="C99" t="s">
        <v>509</v>
      </c>
      <c r="D99" t="s">
        <v>377</v>
      </c>
      <c r="E99" t="s">
        <v>411</v>
      </c>
      <c r="F99" t="s">
        <v>418</v>
      </c>
      <c r="G99" t="s">
        <v>466</v>
      </c>
      <c r="H99" t="s">
        <v>531</v>
      </c>
    </row>
    <row r="100" spans="1:8" x14ac:dyDescent="0.3">
      <c r="A100" t="s">
        <v>279</v>
      </c>
      <c r="B100" t="s">
        <v>466</v>
      </c>
      <c r="C100" t="s">
        <v>509</v>
      </c>
      <c r="D100" t="s">
        <v>377</v>
      </c>
      <c r="E100" t="s">
        <v>411</v>
      </c>
      <c r="F100" t="s">
        <v>418</v>
      </c>
      <c r="G100" t="s">
        <v>466</v>
      </c>
      <c r="H100" t="s">
        <v>531</v>
      </c>
    </row>
    <row r="101" spans="1:8" x14ac:dyDescent="0.3">
      <c r="A101" t="s">
        <v>280</v>
      </c>
      <c r="B101" t="s">
        <v>469</v>
      </c>
      <c r="C101" t="s">
        <v>509</v>
      </c>
      <c r="D101" t="s">
        <v>380</v>
      </c>
      <c r="E101" t="s">
        <v>411</v>
      </c>
      <c r="F101" t="s">
        <v>418</v>
      </c>
      <c r="G101" t="s">
        <v>469</v>
      </c>
      <c r="H101" t="s">
        <v>531</v>
      </c>
    </row>
    <row r="102" spans="1:8" x14ac:dyDescent="0.3">
      <c r="A102" t="s">
        <v>281</v>
      </c>
      <c r="B102" t="s">
        <v>470</v>
      </c>
      <c r="C102" t="s">
        <v>509</v>
      </c>
      <c r="D102" t="s">
        <v>381</v>
      </c>
      <c r="E102" t="s">
        <v>411</v>
      </c>
      <c r="F102" t="s">
        <v>418</v>
      </c>
      <c r="G102" t="s">
        <v>470</v>
      </c>
      <c r="H102" t="s">
        <v>531</v>
      </c>
    </row>
    <row r="103" spans="1:8" x14ac:dyDescent="0.3">
      <c r="A103" t="s">
        <v>282</v>
      </c>
      <c r="B103" t="s">
        <v>466</v>
      </c>
      <c r="C103" t="s">
        <v>509</v>
      </c>
      <c r="D103" t="s">
        <v>377</v>
      </c>
      <c r="E103" t="s">
        <v>411</v>
      </c>
      <c r="F103" t="s">
        <v>418</v>
      </c>
      <c r="G103" t="s">
        <v>466</v>
      </c>
      <c r="H103" t="s">
        <v>531</v>
      </c>
    </row>
    <row r="104" spans="1:8" x14ac:dyDescent="0.3">
      <c r="A104" t="s">
        <v>283</v>
      </c>
      <c r="B104" t="s">
        <v>466</v>
      </c>
      <c r="C104" t="s">
        <v>509</v>
      </c>
      <c r="D104" t="s">
        <v>377</v>
      </c>
      <c r="E104" t="s">
        <v>411</v>
      </c>
      <c r="F104" t="s">
        <v>418</v>
      </c>
      <c r="G104" t="s">
        <v>466</v>
      </c>
      <c r="H104" t="s">
        <v>531</v>
      </c>
    </row>
    <row r="105" spans="1:8" x14ac:dyDescent="0.3">
      <c r="A105" t="s">
        <v>284</v>
      </c>
      <c r="B105" t="s">
        <v>466</v>
      </c>
      <c r="C105" t="s">
        <v>509</v>
      </c>
      <c r="D105" t="s">
        <v>377</v>
      </c>
      <c r="E105" t="s">
        <v>411</v>
      </c>
      <c r="F105" t="s">
        <v>418</v>
      </c>
      <c r="G105" t="s">
        <v>466</v>
      </c>
      <c r="H105" t="s">
        <v>531</v>
      </c>
    </row>
    <row r="106" spans="1:8" x14ac:dyDescent="0.3">
      <c r="A106" t="s">
        <v>285</v>
      </c>
      <c r="B106" t="s">
        <v>471</v>
      </c>
      <c r="C106" t="s">
        <v>502</v>
      </c>
      <c r="D106" t="s">
        <v>382</v>
      </c>
      <c r="E106" t="s">
        <v>404</v>
      </c>
      <c r="F106" t="s">
        <v>418</v>
      </c>
      <c r="G106" t="s">
        <v>471</v>
      </c>
      <c r="H106" t="s">
        <v>531</v>
      </c>
    </row>
    <row r="107" spans="1:8" x14ac:dyDescent="0.3">
      <c r="A107" t="s">
        <v>286</v>
      </c>
      <c r="B107" t="s">
        <v>466</v>
      </c>
      <c r="C107" t="s">
        <v>509</v>
      </c>
      <c r="D107" t="s">
        <v>377</v>
      </c>
      <c r="E107" t="s">
        <v>411</v>
      </c>
      <c r="F107" t="s">
        <v>418</v>
      </c>
      <c r="G107" t="s">
        <v>466</v>
      </c>
      <c r="H107" t="s">
        <v>531</v>
      </c>
    </row>
    <row r="108" spans="1:8" x14ac:dyDescent="0.3">
      <c r="A108" t="s">
        <v>287</v>
      </c>
      <c r="B108" t="s">
        <v>468</v>
      </c>
      <c r="C108" t="s">
        <v>509</v>
      </c>
      <c r="D108" t="s">
        <v>379</v>
      </c>
      <c r="E108" t="s">
        <v>411</v>
      </c>
      <c r="F108" t="s">
        <v>418</v>
      </c>
      <c r="G108" t="s">
        <v>468</v>
      </c>
      <c r="H108" t="s">
        <v>531</v>
      </c>
    </row>
    <row r="109" spans="1:8" x14ac:dyDescent="0.3">
      <c r="A109" t="s">
        <v>288</v>
      </c>
      <c r="B109" t="s">
        <v>468</v>
      </c>
      <c r="C109" t="s">
        <v>509</v>
      </c>
      <c r="D109" t="s">
        <v>379</v>
      </c>
      <c r="E109" t="s">
        <v>411</v>
      </c>
      <c r="F109" t="s">
        <v>418</v>
      </c>
      <c r="G109" t="s">
        <v>468</v>
      </c>
      <c r="H109" t="s">
        <v>531</v>
      </c>
    </row>
    <row r="110" spans="1:8" x14ac:dyDescent="0.3">
      <c r="A110" t="s">
        <v>289</v>
      </c>
      <c r="B110" t="s">
        <v>468</v>
      </c>
      <c r="C110" t="s">
        <v>509</v>
      </c>
      <c r="D110" t="s">
        <v>379</v>
      </c>
      <c r="E110" t="s">
        <v>411</v>
      </c>
      <c r="F110" t="s">
        <v>418</v>
      </c>
      <c r="G110" t="s">
        <v>468</v>
      </c>
      <c r="H110" t="s">
        <v>531</v>
      </c>
    </row>
    <row r="111" spans="1:8" x14ac:dyDescent="0.3">
      <c r="A111" t="s">
        <v>290</v>
      </c>
      <c r="B111" t="s">
        <v>468</v>
      </c>
      <c r="C111" t="s">
        <v>509</v>
      </c>
      <c r="D111" t="s">
        <v>379</v>
      </c>
      <c r="E111" t="s">
        <v>411</v>
      </c>
      <c r="F111" t="s">
        <v>418</v>
      </c>
      <c r="G111" t="s">
        <v>468</v>
      </c>
      <c r="H111" t="s">
        <v>531</v>
      </c>
    </row>
    <row r="112" spans="1:8" x14ac:dyDescent="0.3">
      <c r="A112" t="s">
        <v>291</v>
      </c>
      <c r="B112" t="s">
        <v>468</v>
      </c>
      <c r="C112" t="s">
        <v>509</v>
      </c>
      <c r="D112" t="s">
        <v>379</v>
      </c>
      <c r="E112" t="s">
        <v>411</v>
      </c>
      <c r="F112" t="s">
        <v>418</v>
      </c>
      <c r="G112" t="s">
        <v>468</v>
      </c>
      <c r="H112" t="s">
        <v>531</v>
      </c>
    </row>
    <row r="113" spans="1:8" x14ac:dyDescent="0.3">
      <c r="A113" t="s">
        <v>292</v>
      </c>
      <c r="B113" t="s">
        <v>277</v>
      </c>
      <c r="C113" t="s">
        <v>509</v>
      </c>
      <c r="D113" t="s">
        <v>379</v>
      </c>
      <c r="E113" t="s">
        <v>411</v>
      </c>
      <c r="F113" t="s">
        <v>418</v>
      </c>
      <c r="G113" t="s">
        <v>468</v>
      </c>
      <c r="H113" t="s">
        <v>531</v>
      </c>
    </row>
    <row r="114" spans="1:8" x14ac:dyDescent="0.3">
      <c r="A114" t="s">
        <v>293</v>
      </c>
      <c r="B114" t="s">
        <v>468</v>
      </c>
      <c r="C114" t="s">
        <v>509</v>
      </c>
      <c r="D114" t="s">
        <v>379</v>
      </c>
      <c r="E114" t="s">
        <v>411</v>
      </c>
      <c r="F114" t="s">
        <v>418</v>
      </c>
      <c r="G114" t="s">
        <v>468</v>
      </c>
      <c r="H114" t="s">
        <v>531</v>
      </c>
    </row>
    <row r="115" spans="1:8" x14ac:dyDescent="0.3">
      <c r="A115" t="s">
        <v>294</v>
      </c>
      <c r="B115" t="s">
        <v>466</v>
      </c>
      <c r="C115" t="s">
        <v>509</v>
      </c>
      <c r="D115" t="s">
        <v>377</v>
      </c>
      <c r="E115" t="s">
        <v>411</v>
      </c>
      <c r="F115" t="s">
        <v>418</v>
      </c>
      <c r="G115" t="s">
        <v>466</v>
      </c>
      <c r="H115" t="s">
        <v>531</v>
      </c>
    </row>
    <row r="116" spans="1:8" x14ac:dyDescent="0.3">
      <c r="A116" t="s">
        <v>295</v>
      </c>
      <c r="B116" t="s">
        <v>472</v>
      </c>
      <c r="C116" t="s">
        <v>510</v>
      </c>
      <c r="D116" t="s">
        <v>383</v>
      </c>
      <c r="E116" t="s">
        <v>412</v>
      </c>
      <c r="F116" t="s">
        <v>418</v>
      </c>
      <c r="G116" t="s">
        <v>472</v>
      </c>
      <c r="H116" t="s">
        <v>531</v>
      </c>
    </row>
    <row r="117" spans="1:8" x14ac:dyDescent="0.3">
      <c r="A117" t="s">
        <v>296</v>
      </c>
      <c r="B117" t="s">
        <v>468</v>
      </c>
      <c r="C117" t="s">
        <v>509</v>
      </c>
      <c r="D117" t="s">
        <v>379</v>
      </c>
      <c r="E117" t="s">
        <v>411</v>
      </c>
      <c r="F117" t="s">
        <v>418</v>
      </c>
      <c r="G117" t="s">
        <v>468</v>
      </c>
      <c r="H117" t="s">
        <v>531</v>
      </c>
    </row>
    <row r="118" spans="1:8" x14ac:dyDescent="0.3">
      <c r="A118" t="s">
        <v>297</v>
      </c>
      <c r="B118" t="s">
        <v>473</v>
      </c>
      <c r="C118" t="s">
        <v>130</v>
      </c>
      <c r="D118" t="s">
        <v>384</v>
      </c>
      <c r="E118" t="s">
        <v>131</v>
      </c>
      <c r="F118" t="s">
        <v>59</v>
      </c>
      <c r="G118" t="s">
        <v>473</v>
      </c>
      <c r="H118" s="13" t="s">
        <v>516</v>
      </c>
    </row>
    <row r="119" spans="1:8" x14ac:dyDescent="0.3">
      <c r="A119" t="s">
        <v>298</v>
      </c>
      <c r="B119" t="s">
        <v>474</v>
      </c>
      <c r="C119" t="s">
        <v>511</v>
      </c>
      <c r="D119" t="s">
        <v>385</v>
      </c>
      <c r="E119" t="s">
        <v>413</v>
      </c>
      <c r="F119" t="s">
        <v>418</v>
      </c>
      <c r="G119" t="s">
        <v>474</v>
      </c>
      <c r="H119" s="13" t="s">
        <v>516</v>
      </c>
    </row>
    <row r="120" spans="1:8" x14ac:dyDescent="0.3">
      <c r="A120" t="s">
        <v>299</v>
      </c>
      <c r="B120" t="s">
        <v>473</v>
      </c>
      <c r="C120" t="s">
        <v>130</v>
      </c>
      <c r="D120" t="s">
        <v>384</v>
      </c>
      <c r="E120" t="s">
        <v>131</v>
      </c>
      <c r="F120" t="s">
        <v>59</v>
      </c>
      <c r="G120" t="s">
        <v>473</v>
      </c>
      <c r="H120" s="13" t="s">
        <v>516</v>
      </c>
    </row>
    <row r="121" spans="1:8" x14ac:dyDescent="0.3">
      <c r="A121" t="s">
        <v>300</v>
      </c>
      <c r="B121" t="s">
        <v>473</v>
      </c>
      <c r="C121" t="s">
        <v>130</v>
      </c>
      <c r="D121" t="s">
        <v>384</v>
      </c>
      <c r="E121" t="s">
        <v>131</v>
      </c>
      <c r="F121" t="s">
        <v>59</v>
      </c>
      <c r="G121" t="s">
        <v>473</v>
      </c>
      <c r="H121" s="13" t="s">
        <v>516</v>
      </c>
    </row>
    <row r="122" spans="1:8" x14ac:dyDescent="0.3">
      <c r="A122" t="s">
        <v>301</v>
      </c>
      <c r="B122" t="s">
        <v>475</v>
      </c>
      <c r="C122" t="s">
        <v>511</v>
      </c>
      <c r="D122" t="s">
        <v>386</v>
      </c>
      <c r="E122" t="s">
        <v>413</v>
      </c>
      <c r="F122" t="s">
        <v>418</v>
      </c>
      <c r="G122" t="s">
        <v>475</v>
      </c>
      <c r="H122" s="13" t="s">
        <v>516</v>
      </c>
    </row>
    <row r="123" spans="1:8" x14ac:dyDescent="0.3">
      <c r="A123" t="s">
        <v>302</v>
      </c>
      <c r="B123" t="s">
        <v>476</v>
      </c>
      <c r="C123" t="s">
        <v>172</v>
      </c>
      <c r="D123" t="s">
        <v>387</v>
      </c>
      <c r="E123" t="s">
        <v>103</v>
      </c>
      <c r="F123" t="s">
        <v>418</v>
      </c>
      <c r="G123" t="s">
        <v>476</v>
      </c>
      <c r="H123" t="s">
        <v>530</v>
      </c>
    </row>
    <row r="124" spans="1:8" x14ac:dyDescent="0.3">
      <c r="A124" t="s">
        <v>303</v>
      </c>
      <c r="B124" t="s">
        <v>477</v>
      </c>
      <c r="C124" t="s">
        <v>172</v>
      </c>
      <c r="D124" t="s">
        <v>388</v>
      </c>
      <c r="E124" t="s">
        <v>103</v>
      </c>
      <c r="F124" t="s">
        <v>418</v>
      </c>
      <c r="G124" t="s">
        <v>477</v>
      </c>
      <c r="H124" t="s">
        <v>530</v>
      </c>
    </row>
    <row r="125" spans="1:8" x14ac:dyDescent="0.3">
      <c r="A125" t="s">
        <v>304</v>
      </c>
      <c r="B125" t="s">
        <v>478</v>
      </c>
      <c r="C125" t="s">
        <v>172</v>
      </c>
      <c r="D125" t="s">
        <v>389</v>
      </c>
      <c r="E125" t="s">
        <v>103</v>
      </c>
      <c r="F125" t="s">
        <v>418</v>
      </c>
      <c r="G125" t="s">
        <v>478</v>
      </c>
      <c r="H125" t="s">
        <v>530</v>
      </c>
    </row>
    <row r="126" spans="1:8" x14ac:dyDescent="0.3">
      <c r="A126" t="s">
        <v>305</v>
      </c>
      <c r="B126" t="s">
        <v>479</v>
      </c>
      <c r="C126" t="s">
        <v>126</v>
      </c>
      <c r="D126" t="s">
        <v>390</v>
      </c>
      <c r="E126" t="s">
        <v>127</v>
      </c>
      <c r="F126" t="s">
        <v>59</v>
      </c>
      <c r="G126" t="s">
        <v>127</v>
      </c>
      <c r="H126" t="s">
        <v>532</v>
      </c>
    </row>
    <row r="127" spans="1:8" x14ac:dyDescent="0.3">
      <c r="A127" t="s">
        <v>306</v>
      </c>
      <c r="B127" t="s">
        <v>480</v>
      </c>
      <c r="C127" t="s">
        <v>130</v>
      </c>
      <c r="D127" t="s">
        <v>391</v>
      </c>
      <c r="E127" t="s">
        <v>131</v>
      </c>
      <c r="F127" t="s">
        <v>59</v>
      </c>
      <c r="G127" t="s">
        <v>497</v>
      </c>
      <c r="H127" t="s">
        <v>531</v>
      </c>
    </row>
    <row r="128" spans="1:8" x14ac:dyDescent="0.3">
      <c r="A128" t="s">
        <v>307</v>
      </c>
      <c r="B128" t="s">
        <v>481</v>
      </c>
      <c r="C128" t="s">
        <v>130</v>
      </c>
      <c r="D128" t="s">
        <v>392</v>
      </c>
      <c r="E128" t="s">
        <v>131</v>
      </c>
      <c r="F128" t="s">
        <v>59</v>
      </c>
      <c r="G128" t="s">
        <v>481</v>
      </c>
      <c r="H128" t="s">
        <v>531</v>
      </c>
    </row>
    <row r="129" spans="1:8" x14ac:dyDescent="0.3">
      <c r="A129" t="s">
        <v>308</v>
      </c>
      <c r="B129" t="s">
        <v>482</v>
      </c>
      <c r="C129" t="s">
        <v>130</v>
      </c>
      <c r="D129" t="s">
        <v>393</v>
      </c>
      <c r="E129" t="s">
        <v>131</v>
      </c>
      <c r="F129" t="s">
        <v>59</v>
      </c>
      <c r="G129" t="s">
        <v>482</v>
      </c>
      <c r="H129" t="s">
        <v>531</v>
      </c>
    </row>
    <row r="130" spans="1:8" x14ac:dyDescent="0.3">
      <c r="A130" t="s">
        <v>309</v>
      </c>
      <c r="B130" t="s">
        <v>483</v>
      </c>
      <c r="C130" t="s">
        <v>130</v>
      </c>
      <c r="D130" t="s">
        <v>394</v>
      </c>
      <c r="E130" t="s">
        <v>131</v>
      </c>
      <c r="F130" t="s">
        <v>59</v>
      </c>
      <c r="G130" t="s">
        <v>483</v>
      </c>
      <c r="H130" t="s">
        <v>531</v>
      </c>
    </row>
    <row r="131" spans="1:8" x14ac:dyDescent="0.3">
      <c r="A131" t="s">
        <v>310</v>
      </c>
      <c r="B131" t="s">
        <v>483</v>
      </c>
      <c r="C131" t="s">
        <v>130</v>
      </c>
      <c r="D131" t="s">
        <v>394</v>
      </c>
      <c r="E131" t="s">
        <v>131</v>
      </c>
      <c r="F131" t="s">
        <v>59</v>
      </c>
      <c r="G131" t="s">
        <v>483</v>
      </c>
      <c r="H131" t="s">
        <v>531</v>
      </c>
    </row>
    <row r="132" spans="1:8" x14ac:dyDescent="0.3">
      <c r="A132" t="s">
        <v>311</v>
      </c>
      <c r="B132" t="s">
        <v>484</v>
      </c>
      <c r="C132" t="s">
        <v>130</v>
      </c>
      <c r="D132" t="s">
        <v>395</v>
      </c>
      <c r="E132" t="s">
        <v>131</v>
      </c>
      <c r="F132" t="s">
        <v>59</v>
      </c>
      <c r="G132" t="s">
        <v>484</v>
      </c>
      <c r="H132" t="s">
        <v>531</v>
      </c>
    </row>
    <row r="133" spans="1:8" x14ac:dyDescent="0.3">
      <c r="A133" t="s">
        <v>312</v>
      </c>
      <c r="B133" t="s">
        <v>485</v>
      </c>
      <c r="C133" t="s">
        <v>130</v>
      </c>
      <c r="D133" t="s">
        <v>396</v>
      </c>
      <c r="E133" t="s">
        <v>131</v>
      </c>
      <c r="F133" t="s">
        <v>59</v>
      </c>
      <c r="G133" t="s">
        <v>485</v>
      </c>
      <c r="H133" t="s">
        <v>531</v>
      </c>
    </row>
    <row r="134" spans="1:8" x14ac:dyDescent="0.3">
      <c r="A134" t="s">
        <v>313</v>
      </c>
      <c r="B134" t="s">
        <v>481</v>
      </c>
      <c r="C134" t="s">
        <v>130</v>
      </c>
      <c r="D134" t="s">
        <v>392</v>
      </c>
      <c r="E134" t="s">
        <v>131</v>
      </c>
      <c r="F134" t="s">
        <v>59</v>
      </c>
      <c r="G134" t="s">
        <v>481</v>
      </c>
      <c r="H134" t="s">
        <v>531</v>
      </c>
    </row>
    <row r="135" spans="1:8" x14ac:dyDescent="0.3">
      <c r="A135" t="s">
        <v>314</v>
      </c>
      <c r="B135" t="s">
        <v>486</v>
      </c>
      <c r="C135" t="s">
        <v>130</v>
      </c>
      <c r="D135" t="s">
        <v>397</v>
      </c>
      <c r="E135" t="s">
        <v>131</v>
      </c>
      <c r="F135" t="s">
        <v>59</v>
      </c>
      <c r="G135" t="s">
        <v>486</v>
      </c>
      <c r="H135" t="s">
        <v>531</v>
      </c>
    </row>
    <row r="136" spans="1:8" x14ac:dyDescent="0.3">
      <c r="A136" t="s">
        <v>315</v>
      </c>
      <c r="B136" t="s">
        <v>483</v>
      </c>
      <c r="C136" t="s">
        <v>130</v>
      </c>
      <c r="D136" t="s">
        <v>394</v>
      </c>
      <c r="E136" t="s">
        <v>131</v>
      </c>
      <c r="F136" t="s">
        <v>59</v>
      </c>
      <c r="G136" t="s">
        <v>483</v>
      </c>
      <c r="H136" t="s">
        <v>531</v>
      </c>
    </row>
    <row r="137" spans="1:8" x14ac:dyDescent="0.3">
      <c r="A137" t="s">
        <v>316</v>
      </c>
      <c r="B137" t="s">
        <v>483</v>
      </c>
      <c r="C137" t="s">
        <v>130</v>
      </c>
      <c r="D137" t="s">
        <v>394</v>
      </c>
      <c r="E137" t="s">
        <v>131</v>
      </c>
      <c r="F137" t="s">
        <v>59</v>
      </c>
      <c r="G137" t="s">
        <v>483</v>
      </c>
      <c r="H137" t="s">
        <v>531</v>
      </c>
    </row>
    <row r="138" spans="1:8" x14ac:dyDescent="0.3">
      <c r="A138" t="s">
        <v>317</v>
      </c>
      <c r="B138" t="s">
        <v>487</v>
      </c>
      <c r="C138" t="s">
        <v>130</v>
      </c>
      <c r="D138" t="s">
        <v>398</v>
      </c>
      <c r="E138" t="s">
        <v>131</v>
      </c>
      <c r="F138" t="s">
        <v>59</v>
      </c>
      <c r="G138" t="s">
        <v>487</v>
      </c>
      <c r="H138" t="s">
        <v>533</v>
      </c>
    </row>
    <row r="139" spans="1:8" x14ac:dyDescent="0.3">
      <c r="A139" t="s">
        <v>318</v>
      </c>
      <c r="B139" t="s">
        <v>487</v>
      </c>
      <c r="C139" t="s">
        <v>130</v>
      </c>
      <c r="D139" t="s">
        <v>398</v>
      </c>
      <c r="E139" t="s">
        <v>131</v>
      </c>
      <c r="F139" t="s">
        <v>59</v>
      </c>
      <c r="G139" t="s">
        <v>487</v>
      </c>
      <c r="H139" t="s">
        <v>533</v>
      </c>
    </row>
    <row r="140" spans="1:8" x14ac:dyDescent="0.3">
      <c r="A140" t="s">
        <v>319</v>
      </c>
      <c r="B140" t="s">
        <v>488</v>
      </c>
      <c r="C140" t="s">
        <v>130</v>
      </c>
      <c r="D140" t="s">
        <v>399</v>
      </c>
      <c r="E140" t="s">
        <v>131</v>
      </c>
      <c r="F140" t="s">
        <v>59</v>
      </c>
      <c r="G140" t="s">
        <v>488</v>
      </c>
      <c r="H140" t="s">
        <v>533</v>
      </c>
    </row>
    <row r="141" spans="1:8" x14ac:dyDescent="0.3">
      <c r="A141" t="s">
        <v>320</v>
      </c>
      <c r="B141" t="s">
        <v>488</v>
      </c>
      <c r="C141" t="s">
        <v>130</v>
      </c>
      <c r="D141" t="s">
        <v>399</v>
      </c>
      <c r="E141" t="s">
        <v>131</v>
      </c>
      <c r="F141" t="s">
        <v>59</v>
      </c>
      <c r="G141" t="s">
        <v>488</v>
      </c>
      <c r="H141" t="s">
        <v>533</v>
      </c>
    </row>
    <row r="142" spans="1:8" x14ac:dyDescent="0.3">
      <c r="A142" t="s">
        <v>321</v>
      </c>
      <c r="B142" t="s">
        <v>489</v>
      </c>
      <c r="C142" t="s">
        <v>130</v>
      </c>
      <c r="D142" t="s">
        <v>400</v>
      </c>
      <c r="E142" t="s">
        <v>131</v>
      </c>
      <c r="F142" t="s">
        <v>59</v>
      </c>
      <c r="G142" t="s">
        <v>489</v>
      </c>
      <c r="H142" t="s">
        <v>533</v>
      </c>
    </row>
    <row r="143" spans="1:8" x14ac:dyDescent="0.3">
      <c r="A143" t="s">
        <v>322</v>
      </c>
      <c r="B143" t="s">
        <v>475</v>
      </c>
      <c r="C143" t="s">
        <v>511</v>
      </c>
      <c r="D143" t="s">
        <v>386</v>
      </c>
      <c r="E143" t="s">
        <v>413</v>
      </c>
      <c r="F143" t="s">
        <v>418</v>
      </c>
      <c r="G143" t="s">
        <v>475</v>
      </c>
      <c r="H143" t="s">
        <v>533</v>
      </c>
    </row>
    <row r="144" spans="1:8" x14ac:dyDescent="0.3">
      <c r="A144" t="s">
        <v>323</v>
      </c>
      <c r="B144" t="s">
        <v>466</v>
      </c>
      <c r="C144" t="s">
        <v>509</v>
      </c>
      <c r="D144" t="s">
        <v>377</v>
      </c>
      <c r="E144" t="s">
        <v>411</v>
      </c>
      <c r="F144" t="s">
        <v>418</v>
      </c>
      <c r="G144" t="s">
        <v>466</v>
      </c>
      <c r="H144" t="s">
        <v>531</v>
      </c>
    </row>
    <row r="145" spans="1:8" x14ac:dyDescent="0.3">
      <c r="A145" t="s">
        <v>324</v>
      </c>
      <c r="B145" t="s">
        <v>414</v>
      </c>
      <c r="C145" t="s">
        <v>146</v>
      </c>
      <c r="D145" t="s">
        <v>401</v>
      </c>
      <c r="E145" t="s">
        <v>414</v>
      </c>
      <c r="F145" t="s">
        <v>419</v>
      </c>
      <c r="G145" t="s">
        <v>414</v>
      </c>
      <c r="H145" t="s">
        <v>531</v>
      </c>
    </row>
    <row r="146" spans="1:8" x14ac:dyDescent="0.3">
      <c r="A146" t="s">
        <v>324</v>
      </c>
      <c r="B146" t="s">
        <v>414</v>
      </c>
      <c r="C146" t="s">
        <v>162</v>
      </c>
      <c r="D146" t="s">
        <v>402</v>
      </c>
      <c r="E146" t="s">
        <v>163</v>
      </c>
      <c r="F146" t="s">
        <v>419</v>
      </c>
      <c r="G146" t="s">
        <v>164</v>
      </c>
      <c r="H146" t="s">
        <v>534</v>
      </c>
    </row>
    <row r="147" spans="1:8" x14ac:dyDescent="0.3">
      <c r="A147" t="s">
        <v>324</v>
      </c>
      <c r="B147" t="s">
        <v>414</v>
      </c>
      <c r="C147" t="s">
        <v>143</v>
      </c>
      <c r="D147" t="s">
        <v>498</v>
      </c>
      <c r="E147" t="s">
        <v>144</v>
      </c>
      <c r="F147" t="s">
        <v>419</v>
      </c>
      <c r="G147" t="s">
        <v>144</v>
      </c>
      <c r="H147" t="s">
        <v>532</v>
      </c>
    </row>
    <row r="148" spans="1:8" x14ac:dyDescent="0.3">
      <c r="A148" t="s">
        <v>325</v>
      </c>
      <c r="B148" t="s">
        <v>415</v>
      </c>
      <c r="C148" t="s">
        <v>149</v>
      </c>
      <c r="D148" t="s">
        <v>403</v>
      </c>
      <c r="E148" t="s">
        <v>415</v>
      </c>
      <c r="F148" t="s">
        <v>419</v>
      </c>
      <c r="G148" t="s">
        <v>415</v>
      </c>
      <c r="H148" s="13" t="s">
        <v>516</v>
      </c>
    </row>
    <row r="149" spans="1:8" x14ac:dyDescent="0.3">
      <c r="A149" t="s">
        <v>326</v>
      </c>
      <c r="B149" t="s">
        <v>490</v>
      </c>
      <c r="C149" t="s">
        <v>119</v>
      </c>
      <c r="D149" t="s">
        <v>499</v>
      </c>
      <c r="E149" t="s">
        <v>416</v>
      </c>
      <c r="F149" t="s">
        <v>59</v>
      </c>
      <c r="G149" t="s">
        <v>120</v>
      </c>
      <c r="H149" t="s">
        <v>531</v>
      </c>
    </row>
    <row r="150" spans="1:8" x14ac:dyDescent="0.3">
      <c r="A150" t="s">
        <v>326</v>
      </c>
      <c r="B150" t="s">
        <v>490</v>
      </c>
      <c r="C150" t="s">
        <v>115</v>
      </c>
      <c r="D150" t="s">
        <v>500</v>
      </c>
      <c r="E150" t="s">
        <v>417</v>
      </c>
      <c r="F150" t="s">
        <v>59</v>
      </c>
      <c r="G150" t="s">
        <v>116</v>
      </c>
      <c r="H150" t="s">
        <v>531</v>
      </c>
    </row>
    <row r="151" spans="1:8" x14ac:dyDescent="0.3">
      <c r="A151" t="s">
        <v>326</v>
      </c>
      <c r="B151" t="s">
        <v>490</v>
      </c>
      <c r="C151" t="s">
        <v>122</v>
      </c>
      <c r="D151" t="s">
        <v>501</v>
      </c>
      <c r="E151" t="s">
        <v>123</v>
      </c>
      <c r="F151" t="s">
        <v>59</v>
      </c>
      <c r="G151" t="s">
        <v>123</v>
      </c>
      <c r="H151" t="s">
        <v>532</v>
      </c>
    </row>
    <row r="152" spans="1:8" x14ac:dyDescent="0.3">
      <c r="A152" t="s">
        <v>327</v>
      </c>
      <c r="B152" t="s">
        <v>414</v>
      </c>
      <c r="C152" t="s">
        <v>146</v>
      </c>
      <c r="D152" t="s">
        <v>401</v>
      </c>
      <c r="E152" t="s">
        <v>414</v>
      </c>
      <c r="F152" t="s">
        <v>419</v>
      </c>
      <c r="G152" t="s">
        <v>414</v>
      </c>
      <c r="H152" t="s">
        <v>531</v>
      </c>
    </row>
    <row r="153" spans="1:8" x14ac:dyDescent="0.3">
      <c r="A153" t="s">
        <v>328</v>
      </c>
      <c r="B153" t="s">
        <v>490</v>
      </c>
      <c r="C153" t="s">
        <v>119</v>
      </c>
      <c r="D153" t="s">
        <v>499</v>
      </c>
      <c r="E153" t="s">
        <v>416</v>
      </c>
      <c r="F153" t="s">
        <v>59</v>
      </c>
      <c r="G153" t="s">
        <v>120</v>
      </c>
      <c r="H153" t="s">
        <v>531</v>
      </c>
    </row>
    <row r="154" spans="1:8" x14ac:dyDescent="0.3">
      <c r="A154" t="s">
        <v>328</v>
      </c>
      <c r="B154" t="s">
        <v>490</v>
      </c>
      <c r="C154" t="s">
        <v>115</v>
      </c>
      <c r="D154" t="s">
        <v>500</v>
      </c>
      <c r="E154" t="s">
        <v>417</v>
      </c>
      <c r="F154" t="s">
        <v>59</v>
      </c>
      <c r="G154" t="s">
        <v>116</v>
      </c>
      <c r="H154" t="s">
        <v>531</v>
      </c>
    </row>
  </sheetData>
  <autoFilter ref="A1:H154" xr:uid="{4E64F9AD-4409-484A-A993-D49F9C71FB88}"/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C1D4-BA16-42B3-86AB-465E2AE78F92}">
  <dimension ref="A1:I80"/>
  <sheetViews>
    <sheetView workbookViewId="0">
      <selection activeCell="F10" sqref="F10"/>
    </sheetView>
  </sheetViews>
  <sheetFormatPr defaultRowHeight="14.4" x14ac:dyDescent="0.3"/>
  <cols>
    <col min="1" max="1" width="25.88671875" bestFit="1" customWidth="1"/>
    <col min="2" max="2" width="19.5546875" bestFit="1" customWidth="1"/>
    <col min="3" max="3" width="36.21875" bestFit="1" customWidth="1"/>
    <col min="4" max="4" width="17.33203125" bestFit="1" customWidth="1"/>
    <col min="5" max="5" width="17.33203125" customWidth="1"/>
    <col min="6" max="6" width="37.5546875" style="8" customWidth="1"/>
    <col min="7" max="7" width="16.109375" bestFit="1" customWidth="1"/>
    <col min="8" max="8" width="14.88671875" bestFit="1" customWidth="1"/>
  </cols>
  <sheetData>
    <row r="1" spans="1:9" x14ac:dyDescent="0.3">
      <c r="A1" s="5" t="s">
        <v>512</v>
      </c>
      <c r="B1" s="38" t="s">
        <v>180</v>
      </c>
      <c r="C1" s="5" t="s">
        <v>178</v>
      </c>
      <c r="D1" s="5" t="s">
        <v>491</v>
      </c>
      <c r="E1" s="38" t="s">
        <v>599</v>
      </c>
      <c r="F1" s="12" t="s">
        <v>515</v>
      </c>
      <c r="G1" s="5" t="s">
        <v>513</v>
      </c>
      <c r="H1" s="5" t="s">
        <v>514</v>
      </c>
      <c r="I1" s="5" t="s">
        <v>590</v>
      </c>
    </row>
    <row r="2" spans="1:9" x14ac:dyDescent="0.3">
      <c r="A2" t="s">
        <v>502</v>
      </c>
      <c r="B2" t="s">
        <v>329</v>
      </c>
      <c r="C2" t="s">
        <v>404</v>
      </c>
      <c r="D2" t="s">
        <v>418</v>
      </c>
      <c r="E2" t="s">
        <v>600</v>
      </c>
      <c r="F2" s="8" t="s">
        <v>516</v>
      </c>
    </row>
    <row r="3" spans="1:9" x14ac:dyDescent="0.3">
      <c r="A3" t="s">
        <v>502</v>
      </c>
      <c r="B3" t="s">
        <v>330</v>
      </c>
      <c r="C3" t="s">
        <v>404</v>
      </c>
      <c r="D3" t="s">
        <v>418</v>
      </c>
      <c r="E3" t="s">
        <v>600</v>
      </c>
      <c r="F3" s="8" t="s">
        <v>516</v>
      </c>
    </row>
    <row r="4" spans="1:9" x14ac:dyDescent="0.3">
      <c r="A4" t="s">
        <v>502</v>
      </c>
      <c r="B4" t="s">
        <v>331</v>
      </c>
      <c r="C4" t="s">
        <v>404</v>
      </c>
      <c r="D4" t="s">
        <v>418</v>
      </c>
      <c r="E4" t="s">
        <v>600</v>
      </c>
      <c r="F4" s="8" t="s">
        <v>516</v>
      </c>
    </row>
    <row r="5" spans="1:9" x14ac:dyDescent="0.3">
      <c r="A5" t="s">
        <v>502</v>
      </c>
      <c r="B5" t="s">
        <v>332</v>
      </c>
      <c r="C5" t="s">
        <v>404</v>
      </c>
      <c r="D5" t="s">
        <v>418</v>
      </c>
      <c r="E5" t="s">
        <v>600</v>
      </c>
      <c r="F5" s="8" t="s">
        <v>516</v>
      </c>
    </row>
    <row r="6" spans="1:9" ht="28.8" x14ac:dyDescent="0.3">
      <c r="A6" t="s">
        <v>503</v>
      </c>
      <c r="B6" t="s">
        <v>333</v>
      </c>
      <c r="C6" t="s">
        <v>405</v>
      </c>
      <c r="D6" t="s">
        <v>418</v>
      </c>
      <c r="E6" t="s">
        <v>601</v>
      </c>
      <c r="F6" s="8" t="s">
        <v>517</v>
      </c>
    </row>
    <row r="7" spans="1:9" ht="28.8" x14ac:dyDescent="0.3">
      <c r="A7" t="s">
        <v>503</v>
      </c>
      <c r="B7" t="s">
        <v>334</v>
      </c>
      <c r="C7" t="s">
        <v>405</v>
      </c>
      <c r="D7" t="s">
        <v>418</v>
      </c>
      <c r="E7" t="s">
        <v>601</v>
      </c>
      <c r="F7" s="8" t="s">
        <v>517</v>
      </c>
    </row>
    <row r="8" spans="1:9" ht="28.8" x14ac:dyDescent="0.3">
      <c r="A8" t="s">
        <v>503</v>
      </c>
      <c r="B8" t="s">
        <v>335</v>
      </c>
      <c r="C8" t="s">
        <v>405</v>
      </c>
      <c r="D8" t="s">
        <v>418</v>
      </c>
      <c r="E8" t="s">
        <v>601</v>
      </c>
      <c r="F8" s="8" t="s">
        <v>517</v>
      </c>
    </row>
    <row r="9" spans="1:9" ht="28.8" x14ac:dyDescent="0.3">
      <c r="A9" t="s">
        <v>503</v>
      </c>
      <c r="B9" t="s">
        <v>336</v>
      </c>
      <c r="C9" t="s">
        <v>405</v>
      </c>
      <c r="D9" t="s">
        <v>418</v>
      </c>
      <c r="E9" t="s">
        <v>601</v>
      </c>
      <c r="F9" s="8" t="s">
        <v>517</v>
      </c>
    </row>
    <row r="10" spans="1:9" ht="28.8" x14ac:dyDescent="0.3">
      <c r="A10" t="s">
        <v>503</v>
      </c>
      <c r="B10" t="s">
        <v>337</v>
      </c>
      <c r="C10" t="s">
        <v>405</v>
      </c>
      <c r="D10" t="s">
        <v>418</v>
      </c>
      <c r="E10" t="s">
        <v>601</v>
      </c>
      <c r="F10" s="8" t="s">
        <v>517</v>
      </c>
    </row>
    <row r="11" spans="1:9" ht="28.8" x14ac:dyDescent="0.3">
      <c r="A11" t="s">
        <v>503</v>
      </c>
      <c r="B11" t="s">
        <v>338</v>
      </c>
      <c r="C11" t="s">
        <v>405</v>
      </c>
      <c r="D11" t="s">
        <v>418</v>
      </c>
      <c r="E11" t="s">
        <v>601</v>
      </c>
      <c r="F11" s="8" t="s">
        <v>517</v>
      </c>
    </row>
    <row r="12" spans="1:9" ht="28.8" x14ac:dyDescent="0.3">
      <c r="A12" t="s">
        <v>503</v>
      </c>
      <c r="B12" t="s">
        <v>339</v>
      </c>
      <c r="C12" t="s">
        <v>405</v>
      </c>
      <c r="D12" t="s">
        <v>418</v>
      </c>
      <c r="E12" t="s">
        <v>601</v>
      </c>
      <c r="F12" s="8" t="s">
        <v>517</v>
      </c>
    </row>
    <row r="13" spans="1:9" x14ac:dyDescent="0.3">
      <c r="A13" t="s">
        <v>504</v>
      </c>
      <c r="B13" t="s">
        <v>340</v>
      </c>
      <c r="C13" t="s">
        <v>406</v>
      </c>
      <c r="D13" t="s">
        <v>418</v>
      </c>
      <c r="E13" t="s">
        <v>600</v>
      </c>
      <c r="F13" s="8" t="s">
        <v>516</v>
      </c>
    </row>
    <row r="14" spans="1:9" ht="28.8" x14ac:dyDescent="0.3">
      <c r="A14" t="s">
        <v>503</v>
      </c>
      <c r="B14" t="s">
        <v>341</v>
      </c>
      <c r="C14" t="s">
        <v>405</v>
      </c>
      <c r="D14" t="s">
        <v>418</v>
      </c>
      <c r="E14" t="s">
        <v>601</v>
      </c>
      <c r="F14" s="8" t="s">
        <v>517</v>
      </c>
    </row>
    <row r="15" spans="1:9" ht="28.8" x14ac:dyDescent="0.3">
      <c r="A15" t="s">
        <v>503</v>
      </c>
      <c r="B15" t="s">
        <v>342</v>
      </c>
      <c r="C15" t="s">
        <v>405</v>
      </c>
      <c r="D15" t="s">
        <v>418</v>
      </c>
      <c r="E15" t="s">
        <v>601</v>
      </c>
      <c r="F15" s="8" t="s">
        <v>517</v>
      </c>
    </row>
    <row r="16" spans="1:9" ht="28.8" x14ac:dyDescent="0.3">
      <c r="A16" t="s">
        <v>503</v>
      </c>
      <c r="B16" t="s">
        <v>343</v>
      </c>
      <c r="C16" t="s">
        <v>405</v>
      </c>
      <c r="D16" t="s">
        <v>418</v>
      </c>
      <c r="E16" t="s">
        <v>601</v>
      </c>
      <c r="F16" s="8" t="s">
        <v>517</v>
      </c>
    </row>
    <row r="17" spans="1:6" ht="28.8" x14ac:dyDescent="0.3">
      <c r="A17" t="s">
        <v>503</v>
      </c>
      <c r="B17" t="s">
        <v>344</v>
      </c>
      <c r="C17" t="s">
        <v>405</v>
      </c>
      <c r="D17" t="s">
        <v>418</v>
      </c>
      <c r="E17" t="s">
        <v>601</v>
      </c>
      <c r="F17" s="8" t="s">
        <v>517</v>
      </c>
    </row>
    <row r="18" spans="1:6" x14ac:dyDescent="0.3">
      <c r="A18" t="s">
        <v>504</v>
      </c>
      <c r="B18" t="s">
        <v>345</v>
      </c>
      <c r="C18" t="s">
        <v>406</v>
      </c>
      <c r="D18" t="s">
        <v>418</v>
      </c>
      <c r="E18" t="s">
        <v>600</v>
      </c>
      <c r="F18" s="8" t="s">
        <v>516</v>
      </c>
    </row>
    <row r="19" spans="1:6" ht="28.8" x14ac:dyDescent="0.3">
      <c r="A19" t="s">
        <v>503</v>
      </c>
      <c r="B19" t="s">
        <v>346</v>
      </c>
      <c r="C19" t="s">
        <v>405</v>
      </c>
      <c r="D19" t="s">
        <v>418</v>
      </c>
      <c r="E19" t="s">
        <v>601</v>
      </c>
      <c r="F19" s="8" t="s">
        <v>517</v>
      </c>
    </row>
    <row r="20" spans="1:6" ht="28.8" x14ac:dyDescent="0.3">
      <c r="A20" t="s">
        <v>503</v>
      </c>
      <c r="B20" t="s">
        <v>347</v>
      </c>
      <c r="C20" t="s">
        <v>405</v>
      </c>
      <c r="D20" t="s">
        <v>418</v>
      </c>
      <c r="E20" t="s">
        <v>601</v>
      </c>
      <c r="F20" s="8" t="s">
        <v>517</v>
      </c>
    </row>
    <row r="21" spans="1:6" ht="28.8" x14ac:dyDescent="0.3">
      <c r="A21" t="s">
        <v>503</v>
      </c>
      <c r="B21" t="s">
        <v>348</v>
      </c>
      <c r="C21" t="s">
        <v>405</v>
      </c>
      <c r="D21" t="s">
        <v>418</v>
      </c>
      <c r="E21" t="s">
        <v>601</v>
      </c>
      <c r="F21" s="8" t="s">
        <v>517</v>
      </c>
    </row>
    <row r="22" spans="1:6" ht="28.8" x14ac:dyDescent="0.3">
      <c r="A22" t="s">
        <v>503</v>
      </c>
      <c r="B22" t="s">
        <v>349</v>
      </c>
      <c r="C22" t="s">
        <v>405</v>
      </c>
      <c r="D22" t="s">
        <v>418</v>
      </c>
      <c r="E22" t="s">
        <v>601</v>
      </c>
      <c r="F22" s="8" t="s">
        <v>517</v>
      </c>
    </row>
    <row r="23" spans="1:6" ht="28.8" x14ac:dyDescent="0.3">
      <c r="A23" t="s">
        <v>503</v>
      </c>
      <c r="B23" t="s">
        <v>350</v>
      </c>
      <c r="C23" t="s">
        <v>405</v>
      </c>
      <c r="D23" t="s">
        <v>418</v>
      </c>
      <c r="E23" t="s">
        <v>601</v>
      </c>
      <c r="F23" s="8" t="s">
        <v>517</v>
      </c>
    </row>
    <row r="24" spans="1:6" ht="28.8" x14ac:dyDescent="0.3">
      <c r="A24" t="s">
        <v>503</v>
      </c>
      <c r="B24" t="s">
        <v>351</v>
      </c>
      <c r="C24" t="s">
        <v>405</v>
      </c>
      <c r="D24" t="s">
        <v>418</v>
      </c>
      <c r="E24" t="s">
        <v>601</v>
      </c>
      <c r="F24" s="8" t="s">
        <v>517</v>
      </c>
    </row>
    <row r="25" spans="1:6" ht="28.8" x14ac:dyDescent="0.3">
      <c r="A25" t="s">
        <v>503</v>
      </c>
      <c r="B25" t="s">
        <v>352</v>
      </c>
      <c r="C25" t="s">
        <v>405</v>
      </c>
      <c r="D25" t="s">
        <v>418</v>
      </c>
      <c r="E25" t="s">
        <v>601</v>
      </c>
      <c r="F25" s="8" t="s">
        <v>517</v>
      </c>
    </row>
    <row r="26" spans="1:6" ht="28.8" x14ac:dyDescent="0.3">
      <c r="A26" t="s">
        <v>503</v>
      </c>
      <c r="B26" t="s">
        <v>353</v>
      </c>
      <c r="C26" t="s">
        <v>405</v>
      </c>
      <c r="D26" t="s">
        <v>418</v>
      </c>
      <c r="E26" t="s">
        <v>601</v>
      </c>
      <c r="F26" s="8" t="s">
        <v>517</v>
      </c>
    </row>
    <row r="27" spans="1:6" ht="28.8" x14ac:dyDescent="0.3">
      <c r="A27" t="s">
        <v>503</v>
      </c>
      <c r="B27" t="s">
        <v>354</v>
      </c>
      <c r="C27" t="s">
        <v>405</v>
      </c>
      <c r="D27" t="s">
        <v>418</v>
      </c>
      <c r="E27" t="s">
        <v>601</v>
      </c>
      <c r="F27" s="8" t="s">
        <v>517</v>
      </c>
    </row>
    <row r="28" spans="1:6" ht="28.8" x14ac:dyDescent="0.3">
      <c r="A28" t="s">
        <v>503</v>
      </c>
      <c r="B28" t="s">
        <v>355</v>
      </c>
      <c r="C28" t="s">
        <v>405</v>
      </c>
      <c r="D28" t="s">
        <v>418</v>
      </c>
      <c r="E28" t="s">
        <v>601</v>
      </c>
      <c r="F28" s="8" t="s">
        <v>517</v>
      </c>
    </row>
    <row r="29" spans="1:6" ht="28.8" x14ac:dyDescent="0.3">
      <c r="A29" t="s">
        <v>503</v>
      </c>
      <c r="B29" t="s">
        <v>356</v>
      </c>
      <c r="C29" t="s">
        <v>405</v>
      </c>
      <c r="D29" t="s">
        <v>418</v>
      </c>
      <c r="E29" t="s">
        <v>601</v>
      </c>
      <c r="F29" s="8" t="s">
        <v>517</v>
      </c>
    </row>
    <row r="30" spans="1:6" ht="43.2" x14ac:dyDescent="0.3">
      <c r="A30" t="s">
        <v>165</v>
      </c>
      <c r="B30" t="s">
        <v>357</v>
      </c>
      <c r="C30" t="s">
        <v>166</v>
      </c>
      <c r="D30" t="s">
        <v>419</v>
      </c>
      <c r="E30" t="s">
        <v>602</v>
      </c>
      <c r="F30" s="8" t="s">
        <v>518</v>
      </c>
    </row>
    <row r="31" spans="1:6" x14ac:dyDescent="0.3">
      <c r="A31" t="s">
        <v>159</v>
      </c>
      <c r="B31" t="s">
        <v>358</v>
      </c>
      <c r="C31" t="s">
        <v>160</v>
      </c>
      <c r="D31" t="s">
        <v>419</v>
      </c>
      <c r="E31" t="s">
        <v>600</v>
      </c>
      <c r="F31" s="8" t="s">
        <v>516</v>
      </c>
    </row>
    <row r="32" spans="1:6" x14ac:dyDescent="0.3">
      <c r="A32" t="s">
        <v>504</v>
      </c>
      <c r="B32" t="s">
        <v>359</v>
      </c>
      <c r="C32" t="s">
        <v>406</v>
      </c>
      <c r="D32" t="s">
        <v>418</v>
      </c>
      <c r="E32" t="s">
        <v>600</v>
      </c>
      <c r="F32" s="8" t="s">
        <v>516</v>
      </c>
    </row>
    <row r="33" spans="1:6" ht="28.8" x14ac:dyDescent="0.3">
      <c r="A33" t="s">
        <v>135</v>
      </c>
      <c r="B33" t="s">
        <v>360</v>
      </c>
      <c r="C33" t="s">
        <v>136</v>
      </c>
      <c r="D33" t="s">
        <v>419</v>
      </c>
      <c r="E33" t="s">
        <v>603</v>
      </c>
      <c r="F33" s="8" t="s">
        <v>519</v>
      </c>
    </row>
    <row r="34" spans="1:6" ht="28.8" x14ac:dyDescent="0.3">
      <c r="A34" t="s">
        <v>140</v>
      </c>
      <c r="B34" t="s">
        <v>361</v>
      </c>
      <c r="C34" t="s">
        <v>141</v>
      </c>
      <c r="D34" t="s">
        <v>419</v>
      </c>
      <c r="E34" t="s">
        <v>604</v>
      </c>
      <c r="F34" s="8" t="s">
        <v>520</v>
      </c>
    </row>
    <row r="35" spans="1:6" x14ac:dyDescent="0.3">
      <c r="A35" t="s">
        <v>504</v>
      </c>
      <c r="B35" t="s">
        <v>362</v>
      </c>
      <c r="C35" t="s">
        <v>406</v>
      </c>
      <c r="D35" t="s">
        <v>418</v>
      </c>
      <c r="E35" t="s">
        <v>600</v>
      </c>
      <c r="F35" s="8" t="s">
        <v>516</v>
      </c>
    </row>
    <row r="36" spans="1:6" ht="28.8" x14ac:dyDescent="0.3">
      <c r="A36" t="s">
        <v>154</v>
      </c>
      <c r="B36" t="s">
        <v>363</v>
      </c>
      <c r="C36" t="s">
        <v>155</v>
      </c>
      <c r="D36" t="s">
        <v>419</v>
      </c>
      <c r="E36" t="s">
        <v>605</v>
      </c>
      <c r="F36" s="8" t="s">
        <v>521</v>
      </c>
    </row>
    <row r="37" spans="1:6" x14ac:dyDescent="0.3">
      <c r="A37" t="s">
        <v>505</v>
      </c>
      <c r="B37" t="s">
        <v>364</v>
      </c>
      <c r="C37" t="s">
        <v>407</v>
      </c>
      <c r="D37" t="s">
        <v>418</v>
      </c>
      <c r="E37" t="s">
        <v>600</v>
      </c>
      <c r="F37" s="8" t="s">
        <v>516</v>
      </c>
    </row>
    <row r="38" spans="1:6" x14ac:dyDescent="0.3">
      <c r="A38" t="s">
        <v>502</v>
      </c>
      <c r="B38" t="s">
        <v>365</v>
      </c>
      <c r="C38" t="s">
        <v>404</v>
      </c>
      <c r="D38" t="s">
        <v>418</v>
      </c>
      <c r="E38" t="s">
        <v>600</v>
      </c>
      <c r="F38" s="8" t="s">
        <v>516</v>
      </c>
    </row>
    <row r="39" spans="1:6" x14ac:dyDescent="0.3">
      <c r="A39" t="s">
        <v>502</v>
      </c>
      <c r="B39" t="s">
        <v>366</v>
      </c>
      <c r="C39" t="s">
        <v>404</v>
      </c>
      <c r="D39" t="s">
        <v>418</v>
      </c>
      <c r="E39" t="s">
        <v>600</v>
      </c>
      <c r="F39" s="8" t="s">
        <v>516</v>
      </c>
    </row>
    <row r="40" spans="1:6" x14ac:dyDescent="0.3">
      <c r="A40" t="s">
        <v>505</v>
      </c>
      <c r="B40" t="s">
        <v>367</v>
      </c>
      <c r="C40" t="s">
        <v>407</v>
      </c>
      <c r="D40" t="s">
        <v>418</v>
      </c>
      <c r="E40" t="s">
        <v>600</v>
      </c>
      <c r="F40" s="8" t="s">
        <v>516</v>
      </c>
    </row>
    <row r="41" spans="1:6" x14ac:dyDescent="0.3">
      <c r="A41" t="s">
        <v>502</v>
      </c>
      <c r="B41" t="s">
        <v>368</v>
      </c>
      <c r="C41" t="s">
        <v>404</v>
      </c>
      <c r="D41" t="s">
        <v>418</v>
      </c>
      <c r="E41" t="s">
        <v>600</v>
      </c>
      <c r="F41" s="8" t="s">
        <v>516</v>
      </c>
    </row>
    <row r="42" spans="1:6" x14ac:dyDescent="0.3">
      <c r="A42" t="s">
        <v>502</v>
      </c>
      <c r="B42" t="s">
        <v>369</v>
      </c>
      <c r="C42" t="s">
        <v>404</v>
      </c>
      <c r="D42" t="s">
        <v>418</v>
      </c>
      <c r="E42" t="s">
        <v>600</v>
      </c>
      <c r="F42" s="8" t="s">
        <v>516</v>
      </c>
    </row>
    <row r="43" spans="1:6" x14ac:dyDescent="0.3">
      <c r="A43" t="s">
        <v>506</v>
      </c>
      <c r="B43" t="s">
        <v>370</v>
      </c>
      <c r="C43" t="s">
        <v>408</v>
      </c>
      <c r="D43" t="s">
        <v>418</v>
      </c>
      <c r="E43" t="s">
        <v>600</v>
      </c>
      <c r="F43" s="8" t="s">
        <v>516</v>
      </c>
    </row>
    <row r="44" spans="1:6" x14ac:dyDescent="0.3">
      <c r="A44" t="s">
        <v>506</v>
      </c>
      <c r="B44" t="s">
        <v>371</v>
      </c>
      <c r="C44" t="s">
        <v>408</v>
      </c>
      <c r="D44" t="s">
        <v>418</v>
      </c>
      <c r="E44" t="s">
        <v>600</v>
      </c>
      <c r="F44" s="8" t="s">
        <v>516</v>
      </c>
    </row>
    <row r="45" spans="1:6" x14ac:dyDescent="0.3">
      <c r="A45" t="s">
        <v>506</v>
      </c>
      <c r="B45" t="s">
        <v>372</v>
      </c>
      <c r="C45" t="s">
        <v>408</v>
      </c>
      <c r="D45" t="s">
        <v>418</v>
      </c>
      <c r="E45" t="s">
        <v>600</v>
      </c>
      <c r="F45" s="8" t="s">
        <v>516</v>
      </c>
    </row>
    <row r="46" spans="1:6" x14ac:dyDescent="0.3">
      <c r="A46" t="s">
        <v>507</v>
      </c>
      <c r="B46" t="s">
        <v>373</v>
      </c>
      <c r="C46" t="s">
        <v>409</v>
      </c>
      <c r="D46" t="s">
        <v>418</v>
      </c>
      <c r="E46" t="s">
        <v>600</v>
      </c>
      <c r="F46" s="8" t="s">
        <v>516</v>
      </c>
    </row>
    <row r="47" spans="1:6" x14ac:dyDescent="0.3">
      <c r="A47" t="s">
        <v>508</v>
      </c>
      <c r="B47" t="s">
        <v>374</v>
      </c>
      <c r="C47" t="s">
        <v>410</v>
      </c>
      <c r="D47" t="s">
        <v>418</v>
      </c>
      <c r="E47" t="s">
        <v>600</v>
      </c>
      <c r="F47" s="8" t="s">
        <v>516</v>
      </c>
    </row>
    <row r="48" spans="1:6" x14ac:dyDescent="0.3">
      <c r="A48" t="s">
        <v>507</v>
      </c>
      <c r="B48" t="s">
        <v>375</v>
      </c>
      <c r="C48" t="s">
        <v>409</v>
      </c>
      <c r="D48" t="s">
        <v>418</v>
      </c>
      <c r="E48" t="s">
        <v>600</v>
      </c>
      <c r="F48" s="8" t="s">
        <v>516</v>
      </c>
    </row>
    <row r="49" spans="1:6" x14ac:dyDescent="0.3">
      <c r="A49" t="s">
        <v>509</v>
      </c>
      <c r="B49" t="s">
        <v>376</v>
      </c>
      <c r="C49" t="s">
        <v>411</v>
      </c>
      <c r="D49" t="s">
        <v>418</v>
      </c>
      <c r="E49" t="s">
        <v>600</v>
      </c>
      <c r="F49" s="8" t="s">
        <v>516</v>
      </c>
    </row>
    <row r="50" spans="1:6" x14ac:dyDescent="0.3">
      <c r="A50" t="s">
        <v>509</v>
      </c>
      <c r="B50" t="s">
        <v>377</v>
      </c>
      <c r="C50" t="s">
        <v>411</v>
      </c>
      <c r="D50" t="s">
        <v>418</v>
      </c>
      <c r="E50" t="s">
        <v>600</v>
      </c>
      <c r="F50" s="8" t="s">
        <v>516</v>
      </c>
    </row>
    <row r="51" spans="1:6" x14ac:dyDescent="0.3">
      <c r="A51" t="s">
        <v>509</v>
      </c>
      <c r="B51" t="s">
        <v>378</v>
      </c>
      <c r="C51" t="s">
        <v>411</v>
      </c>
      <c r="D51" t="s">
        <v>418</v>
      </c>
      <c r="E51" t="s">
        <v>600</v>
      </c>
      <c r="F51" s="8" t="s">
        <v>516</v>
      </c>
    </row>
    <row r="52" spans="1:6" x14ac:dyDescent="0.3">
      <c r="A52" t="s">
        <v>509</v>
      </c>
      <c r="B52" t="s">
        <v>379</v>
      </c>
      <c r="C52" t="s">
        <v>411</v>
      </c>
      <c r="D52" t="s">
        <v>418</v>
      </c>
      <c r="E52" t="s">
        <v>600</v>
      </c>
      <c r="F52" s="8" t="s">
        <v>516</v>
      </c>
    </row>
    <row r="53" spans="1:6" x14ac:dyDescent="0.3">
      <c r="A53" t="s">
        <v>509</v>
      </c>
      <c r="B53" t="s">
        <v>380</v>
      </c>
      <c r="C53" t="s">
        <v>411</v>
      </c>
      <c r="D53" t="s">
        <v>418</v>
      </c>
      <c r="E53" t="s">
        <v>600</v>
      </c>
      <c r="F53" s="8" t="s">
        <v>516</v>
      </c>
    </row>
    <row r="54" spans="1:6" x14ac:dyDescent="0.3">
      <c r="A54" t="s">
        <v>509</v>
      </c>
      <c r="B54" t="s">
        <v>381</v>
      </c>
      <c r="C54" t="s">
        <v>411</v>
      </c>
      <c r="D54" t="s">
        <v>418</v>
      </c>
      <c r="E54" t="s">
        <v>600</v>
      </c>
      <c r="F54" s="8" t="s">
        <v>516</v>
      </c>
    </row>
    <row r="55" spans="1:6" x14ac:dyDescent="0.3">
      <c r="A55" t="s">
        <v>502</v>
      </c>
      <c r="B55" t="s">
        <v>382</v>
      </c>
      <c r="C55" t="s">
        <v>404</v>
      </c>
      <c r="D55" t="s">
        <v>418</v>
      </c>
      <c r="E55" t="s">
        <v>600</v>
      </c>
      <c r="F55" s="8" t="s">
        <v>516</v>
      </c>
    </row>
    <row r="56" spans="1:6" x14ac:dyDescent="0.3">
      <c r="A56" t="s">
        <v>510</v>
      </c>
      <c r="B56" t="s">
        <v>383</v>
      </c>
      <c r="C56" t="s">
        <v>412</v>
      </c>
      <c r="D56" t="s">
        <v>418</v>
      </c>
      <c r="E56" t="s">
        <v>600</v>
      </c>
      <c r="F56" s="8" t="s">
        <v>516</v>
      </c>
    </row>
    <row r="57" spans="1:6" x14ac:dyDescent="0.3">
      <c r="A57" t="s">
        <v>130</v>
      </c>
      <c r="B57" t="s">
        <v>384</v>
      </c>
      <c r="C57" t="s">
        <v>131</v>
      </c>
      <c r="D57" t="s">
        <v>59</v>
      </c>
      <c r="E57" t="s">
        <v>600</v>
      </c>
      <c r="F57" s="8" t="s">
        <v>516</v>
      </c>
    </row>
    <row r="58" spans="1:6" x14ac:dyDescent="0.3">
      <c r="A58" t="s">
        <v>511</v>
      </c>
      <c r="B58" t="s">
        <v>385</v>
      </c>
      <c r="C58" t="s">
        <v>413</v>
      </c>
      <c r="D58" t="s">
        <v>418</v>
      </c>
      <c r="E58" t="s">
        <v>600</v>
      </c>
      <c r="F58" s="8" t="s">
        <v>516</v>
      </c>
    </row>
    <row r="59" spans="1:6" x14ac:dyDescent="0.3">
      <c r="A59" t="s">
        <v>511</v>
      </c>
      <c r="B59" t="s">
        <v>386</v>
      </c>
      <c r="C59" t="s">
        <v>413</v>
      </c>
      <c r="D59" t="s">
        <v>418</v>
      </c>
      <c r="E59" t="s">
        <v>600</v>
      </c>
      <c r="F59" s="8" t="s">
        <v>516</v>
      </c>
    </row>
    <row r="60" spans="1:6" x14ac:dyDescent="0.3">
      <c r="A60" t="s">
        <v>172</v>
      </c>
      <c r="B60" t="s">
        <v>387</v>
      </c>
      <c r="C60" t="s">
        <v>103</v>
      </c>
      <c r="D60" t="s">
        <v>418</v>
      </c>
      <c r="E60" t="s">
        <v>640</v>
      </c>
      <c r="F60" s="8" t="s">
        <v>641</v>
      </c>
    </row>
    <row r="61" spans="1:6" x14ac:dyDescent="0.3">
      <c r="A61" t="s">
        <v>172</v>
      </c>
      <c r="B61" t="s">
        <v>388</v>
      </c>
      <c r="C61" t="s">
        <v>103</v>
      </c>
      <c r="D61" t="s">
        <v>418</v>
      </c>
      <c r="E61" t="s">
        <v>640</v>
      </c>
      <c r="F61" s="8" t="s">
        <v>641</v>
      </c>
    </row>
    <row r="62" spans="1:6" x14ac:dyDescent="0.3">
      <c r="A62" t="s">
        <v>172</v>
      </c>
      <c r="B62" t="s">
        <v>389</v>
      </c>
      <c r="C62" t="s">
        <v>103</v>
      </c>
      <c r="D62" t="s">
        <v>418</v>
      </c>
      <c r="E62" t="s">
        <v>640</v>
      </c>
      <c r="F62" s="8" t="s">
        <v>641</v>
      </c>
    </row>
    <row r="63" spans="1:6" ht="28.8" x14ac:dyDescent="0.3">
      <c r="A63" t="s">
        <v>126</v>
      </c>
      <c r="B63" t="s">
        <v>390</v>
      </c>
      <c r="C63" t="s">
        <v>127</v>
      </c>
      <c r="D63" t="s">
        <v>59</v>
      </c>
      <c r="E63" t="s">
        <v>606</v>
      </c>
      <c r="F63" s="8" t="s">
        <v>522</v>
      </c>
    </row>
    <row r="64" spans="1:6" x14ac:dyDescent="0.3">
      <c r="A64" t="s">
        <v>130</v>
      </c>
      <c r="B64" t="s">
        <v>391</v>
      </c>
      <c r="C64" t="s">
        <v>131</v>
      </c>
      <c r="D64" t="s">
        <v>59</v>
      </c>
      <c r="E64" t="s">
        <v>600</v>
      </c>
      <c r="F64" s="8" t="s">
        <v>516</v>
      </c>
    </row>
    <row r="65" spans="1:6" x14ac:dyDescent="0.3">
      <c r="A65" t="s">
        <v>130</v>
      </c>
      <c r="B65" t="s">
        <v>392</v>
      </c>
      <c r="C65" t="s">
        <v>131</v>
      </c>
      <c r="D65" t="s">
        <v>59</v>
      </c>
      <c r="E65" t="s">
        <v>600</v>
      </c>
      <c r="F65" s="8" t="s">
        <v>516</v>
      </c>
    </row>
    <row r="66" spans="1:6" x14ac:dyDescent="0.3">
      <c r="A66" t="s">
        <v>130</v>
      </c>
      <c r="B66" t="s">
        <v>393</v>
      </c>
      <c r="C66" t="s">
        <v>131</v>
      </c>
      <c r="D66" t="s">
        <v>59</v>
      </c>
      <c r="E66" t="s">
        <v>600</v>
      </c>
      <c r="F66" s="8" t="s">
        <v>516</v>
      </c>
    </row>
    <row r="67" spans="1:6" x14ac:dyDescent="0.3">
      <c r="A67" t="s">
        <v>130</v>
      </c>
      <c r="B67" t="s">
        <v>394</v>
      </c>
      <c r="C67" t="s">
        <v>131</v>
      </c>
      <c r="D67" t="s">
        <v>59</v>
      </c>
      <c r="E67" t="s">
        <v>600</v>
      </c>
      <c r="F67" s="8" t="s">
        <v>516</v>
      </c>
    </row>
    <row r="68" spans="1:6" x14ac:dyDescent="0.3">
      <c r="A68" t="s">
        <v>130</v>
      </c>
      <c r="B68" t="s">
        <v>395</v>
      </c>
      <c r="C68" t="s">
        <v>131</v>
      </c>
      <c r="D68" t="s">
        <v>59</v>
      </c>
      <c r="E68" t="s">
        <v>600</v>
      </c>
      <c r="F68" s="8" t="s">
        <v>516</v>
      </c>
    </row>
    <row r="69" spans="1:6" x14ac:dyDescent="0.3">
      <c r="A69" t="s">
        <v>130</v>
      </c>
      <c r="B69" t="s">
        <v>396</v>
      </c>
      <c r="C69" t="s">
        <v>131</v>
      </c>
      <c r="D69" t="s">
        <v>59</v>
      </c>
      <c r="E69" t="s">
        <v>600</v>
      </c>
      <c r="F69" s="8" t="s">
        <v>516</v>
      </c>
    </row>
    <row r="70" spans="1:6" x14ac:dyDescent="0.3">
      <c r="A70" t="s">
        <v>130</v>
      </c>
      <c r="B70" t="s">
        <v>397</v>
      </c>
      <c r="C70" t="s">
        <v>131</v>
      </c>
      <c r="D70" t="s">
        <v>59</v>
      </c>
      <c r="E70" t="s">
        <v>600</v>
      </c>
      <c r="F70" s="8" t="s">
        <v>516</v>
      </c>
    </row>
    <row r="71" spans="1:6" x14ac:dyDescent="0.3">
      <c r="A71" t="s">
        <v>130</v>
      </c>
      <c r="B71" t="s">
        <v>398</v>
      </c>
      <c r="C71" t="s">
        <v>131</v>
      </c>
      <c r="D71" t="s">
        <v>59</v>
      </c>
      <c r="E71" t="s">
        <v>600</v>
      </c>
      <c r="F71" s="8" t="s">
        <v>516</v>
      </c>
    </row>
    <row r="72" spans="1:6" x14ac:dyDescent="0.3">
      <c r="A72" t="s">
        <v>130</v>
      </c>
      <c r="B72" t="s">
        <v>399</v>
      </c>
      <c r="C72" t="s">
        <v>131</v>
      </c>
      <c r="D72" t="s">
        <v>59</v>
      </c>
      <c r="E72" t="s">
        <v>600</v>
      </c>
      <c r="F72" s="8" t="s">
        <v>516</v>
      </c>
    </row>
    <row r="73" spans="1:6" x14ac:dyDescent="0.3">
      <c r="A73" t="s">
        <v>130</v>
      </c>
      <c r="B73" t="s">
        <v>400</v>
      </c>
      <c r="C73" t="s">
        <v>131</v>
      </c>
      <c r="D73" t="s">
        <v>59</v>
      </c>
      <c r="E73" t="s">
        <v>600</v>
      </c>
      <c r="F73" s="8" t="s">
        <v>516</v>
      </c>
    </row>
    <row r="74" spans="1:6" x14ac:dyDescent="0.3">
      <c r="A74" t="s">
        <v>146</v>
      </c>
      <c r="B74" t="s">
        <v>401</v>
      </c>
      <c r="C74" t="s">
        <v>414</v>
      </c>
      <c r="D74" t="s">
        <v>419</v>
      </c>
      <c r="E74" t="s">
        <v>600</v>
      </c>
      <c r="F74" s="8" t="s">
        <v>516</v>
      </c>
    </row>
    <row r="75" spans="1:6" x14ac:dyDescent="0.3">
      <c r="A75" t="s">
        <v>162</v>
      </c>
      <c r="B75" t="s">
        <v>402</v>
      </c>
      <c r="C75" t="s">
        <v>163</v>
      </c>
      <c r="D75" t="s">
        <v>419</v>
      </c>
      <c r="E75" t="s">
        <v>600</v>
      </c>
      <c r="F75" s="8" t="s">
        <v>516</v>
      </c>
    </row>
    <row r="76" spans="1:6" ht="115.2" x14ac:dyDescent="0.3">
      <c r="A76" t="s">
        <v>143</v>
      </c>
      <c r="B76" t="s">
        <v>498</v>
      </c>
      <c r="C76" t="s">
        <v>144</v>
      </c>
      <c r="D76" t="s">
        <v>419</v>
      </c>
      <c r="E76" t="s">
        <v>608</v>
      </c>
      <c r="F76" s="8" t="s">
        <v>523</v>
      </c>
    </row>
    <row r="77" spans="1:6" x14ac:dyDescent="0.3">
      <c r="A77" t="s">
        <v>149</v>
      </c>
      <c r="B77" t="s">
        <v>403</v>
      </c>
      <c r="C77" t="s">
        <v>415</v>
      </c>
      <c r="D77" t="s">
        <v>419</v>
      </c>
      <c r="E77" t="s">
        <v>600</v>
      </c>
      <c r="F77" s="8" t="s">
        <v>516</v>
      </c>
    </row>
    <row r="78" spans="1:6" x14ac:dyDescent="0.3">
      <c r="A78" t="s">
        <v>119</v>
      </c>
      <c r="B78" t="s">
        <v>499</v>
      </c>
      <c r="C78" t="s">
        <v>416</v>
      </c>
      <c r="D78" t="s">
        <v>59</v>
      </c>
      <c r="E78" t="s">
        <v>600</v>
      </c>
      <c r="F78" s="8" t="s">
        <v>516</v>
      </c>
    </row>
    <row r="79" spans="1:6" x14ac:dyDescent="0.3">
      <c r="A79" t="s">
        <v>115</v>
      </c>
      <c r="B79" t="s">
        <v>500</v>
      </c>
      <c r="C79" t="s">
        <v>417</v>
      </c>
      <c r="D79" t="s">
        <v>59</v>
      </c>
      <c r="E79" t="s">
        <v>600</v>
      </c>
      <c r="F79" s="8" t="s">
        <v>516</v>
      </c>
    </row>
    <row r="80" spans="1:6" ht="86.4" x14ac:dyDescent="0.3">
      <c r="A80" t="s">
        <v>122</v>
      </c>
      <c r="B80" t="s">
        <v>501</v>
      </c>
      <c r="C80" t="s">
        <v>123</v>
      </c>
      <c r="D80" t="s">
        <v>59</v>
      </c>
      <c r="E80" t="s">
        <v>607</v>
      </c>
      <c r="F80" s="8" t="s">
        <v>524</v>
      </c>
    </row>
  </sheetData>
  <autoFilter ref="A1:I80" xr:uid="{3B3DC1D4-BA16-42B3-86AB-465E2AE78F92}"/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65E9-E678-409E-A0A4-90B5922582AC}">
  <dimension ref="A1:L60"/>
  <sheetViews>
    <sheetView zoomScale="113" workbookViewId="0">
      <selection activeCell="B14" sqref="B14"/>
    </sheetView>
  </sheetViews>
  <sheetFormatPr defaultRowHeight="14.4" x14ac:dyDescent="0.3"/>
  <cols>
    <col min="1" max="1" width="17.21875" bestFit="1" customWidth="1"/>
    <col min="2" max="2" width="20.6640625" customWidth="1"/>
    <col min="3" max="3" width="27" customWidth="1"/>
    <col min="4" max="4" width="10.6640625" customWidth="1"/>
    <col min="5" max="5" width="12.21875" customWidth="1"/>
    <col min="6" max="6" width="14" customWidth="1"/>
    <col min="7" max="7" width="12" customWidth="1"/>
  </cols>
  <sheetData>
    <row r="1" spans="1:12" x14ac:dyDescent="0.3">
      <c r="A1" s="11" t="s">
        <v>601</v>
      </c>
      <c r="B1" t="s">
        <v>591</v>
      </c>
      <c r="K1" t="s">
        <v>601</v>
      </c>
      <c r="L1" t="s">
        <v>517</v>
      </c>
    </row>
    <row r="2" spans="1:12" x14ac:dyDescent="0.3">
      <c r="A2" t="s">
        <v>609</v>
      </c>
      <c r="B2" t="s">
        <v>610</v>
      </c>
      <c r="K2" t="s">
        <v>602</v>
      </c>
      <c r="L2" s="20" t="s">
        <v>518</v>
      </c>
    </row>
    <row r="3" spans="1:12" ht="43.2" x14ac:dyDescent="0.3">
      <c r="A3" s="21" t="s">
        <v>56</v>
      </c>
      <c r="B3" s="21" t="s">
        <v>28</v>
      </c>
      <c r="C3" s="23" t="s">
        <v>619</v>
      </c>
      <c r="D3" s="21" t="s">
        <v>592</v>
      </c>
      <c r="E3" s="21" t="s">
        <v>514</v>
      </c>
      <c r="F3" s="21" t="s">
        <v>593</v>
      </c>
      <c r="K3" t="s">
        <v>603</v>
      </c>
      <c r="L3" t="s">
        <v>519</v>
      </c>
    </row>
    <row r="4" spans="1:12" x14ac:dyDescent="0.3">
      <c r="B4" s="17"/>
      <c r="G4" s="19"/>
      <c r="K4" t="s">
        <v>604</v>
      </c>
      <c r="L4" t="s">
        <v>520</v>
      </c>
    </row>
    <row r="5" spans="1:12" x14ac:dyDescent="0.3">
      <c r="K5" t="s">
        <v>605</v>
      </c>
      <c r="L5" t="s">
        <v>521</v>
      </c>
    </row>
    <row r="6" spans="1:12" x14ac:dyDescent="0.3">
      <c r="K6" t="s">
        <v>606</v>
      </c>
      <c r="L6" t="s">
        <v>522</v>
      </c>
    </row>
    <row r="7" spans="1:12" x14ac:dyDescent="0.3">
      <c r="A7" s="11" t="s">
        <v>602</v>
      </c>
      <c r="B7" s="13" t="s">
        <v>518</v>
      </c>
      <c r="K7" t="s">
        <v>608</v>
      </c>
      <c r="L7" t="s">
        <v>523</v>
      </c>
    </row>
    <row r="8" spans="1:12" x14ac:dyDescent="0.3">
      <c r="A8" t="s">
        <v>609</v>
      </c>
      <c r="B8" t="s">
        <v>611</v>
      </c>
      <c r="K8" t="s">
        <v>607</v>
      </c>
      <c r="L8" t="s">
        <v>524</v>
      </c>
    </row>
    <row r="9" spans="1:12" ht="28.8" x14ac:dyDescent="0.3">
      <c r="A9" s="21" t="s">
        <v>56</v>
      </c>
      <c r="B9" s="21" t="s">
        <v>40</v>
      </c>
      <c r="C9" s="23" t="s">
        <v>619</v>
      </c>
      <c r="D9" s="21" t="s">
        <v>623</v>
      </c>
      <c r="E9" s="21" t="s">
        <v>514</v>
      </c>
      <c r="F9" s="21" t="s">
        <v>593</v>
      </c>
      <c r="K9" t="s">
        <v>640</v>
      </c>
      <c r="L9" t="s">
        <v>641</v>
      </c>
    </row>
    <row r="10" spans="1:12" x14ac:dyDescent="0.3">
      <c r="K10" t="s">
        <v>600</v>
      </c>
      <c r="L10" s="8" t="s">
        <v>516</v>
      </c>
    </row>
    <row r="12" spans="1:12" x14ac:dyDescent="0.3">
      <c r="A12" s="11" t="s">
        <v>603</v>
      </c>
      <c r="B12" t="s">
        <v>617</v>
      </c>
    </row>
    <row r="13" spans="1:12" x14ac:dyDescent="0.3">
      <c r="A13" t="s">
        <v>609</v>
      </c>
      <c r="B13" t="s">
        <v>613</v>
      </c>
    </row>
    <row r="14" spans="1:12" ht="43.2" x14ac:dyDescent="0.3">
      <c r="A14" s="21" t="s">
        <v>56</v>
      </c>
      <c r="B14" s="21" t="s">
        <v>614</v>
      </c>
      <c r="C14" s="21" t="s">
        <v>616</v>
      </c>
      <c r="D14" s="21" t="s">
        <v>615</v>
      </c>
      <c r="E14" s="21" t="s">
        <v>514</v>
      </c>
      <c r="F14" s="21" t="s">
        <v>593</v>
      </c>
    </row>
    <row r="15" spans="1:12" x14ac:dyDescent="0.3">
      <c r="C15" t="s">
        <v>711</v>
      </c>
    </row>
    <row r="17" spans="1:7" x14ac:dyDescent="0.3">
      <c r="A17" s="11" t="s">
        <v>604</v>
      </c>
      <c r="B17" t="s">
        <v>629</v>
      </c>
    </row>
    <row r="18" spans="1:7" x14ac:dyDescent="0.3">
      <c r="A18" s="24" t="s">
        <v>609</v>
      </c>
      <c r="B18" t="s">
        <v>622</v>
      </c>
    </row>
    <row r="19" spans="1:7" ht="28.8" x14ac:dyDescent="0.3">
      <c r="A19" s="21" t="s">
        <v>56</v>
      </c>
      <c r="B19" s="21" t="s">
        <v>565</v>
      </c>
      <c r="C19" s="21" t="s">
        <v>621</v>
      </c>
      <c r="D19" s="21" t="s">
        <v>623</v>
      </c>
      <c r="E19" s="21" t="s">
        <v>514</v>
      </c>
      <c r="F19" s="21" t="s">
        <v>593</v>
      </c>
    </row>
    <row r="20" spans="1:7" x14ac:dyDescent="0.3">
      <c r="B20" t="s">
        <v>620</v>
      </c>
      <c r="D20" s="18">
        <v>0.01</v>
      </c>
    </row>
    <row r="21" spans="1:7" x14ac:dyDescent="0.3">
      <c r="D21" s="18"/>
    </row>
    <row r="22" spans="1:7" x14ac:dyDescent="0.3">
      <c r="D22" s="18"/>
    </row>
    <row r="23" spans="1:7" x14ac:dyDescent="0.3">
      <c r="A23" s="11" t="s">
        <v>605</v>
      </c>
      <c r="B23" t="s">
        <v>626</v>
      </c>
      <c r="D23" s="18"/>
    </row>
    <row r="24" spans="1:7" x14ac:dyDescent="0.3">
      <c r="A24" t="s">
        <v>609</v>
      </c>
      <c r="B24" t="s">
        <v>624</v>
      </c>
      <c r="D24" s="18"/>
    </row>
    <row r="25" spans="1:7" ht="28.8" x14ac:dyDescent="0.3">
      <c r="A25" s="21" t="s">
        <v>56</v>
      </c>
      <c r="B25" s="21" t="s">
        <v>42</v>
      </c>
      <c r="C25" s="21" t="s">
        <v>625</v>
      </c>
      <c r="D25" s="21" t="s">
        <v>623</v>
      </c>
      <c r="E25" s="21" t="s">
        <v>514</v>
      </c>
      <c r="F25" s="21" t="s">
        <v>593</v>
      </c>
    </row>
    <row r="26" spans="1:7" x14ac:dyDescent="0.3">
      <c r="D26" s="18"/>
    </row>
    <row r="27" spans="1:7" x14ac:dyDescent="0.3">
      <c r="D27" s="18"/>
    </row>
    <row r="28" spans="1:7" x14ac:dyDescent="0.3">
      <c r="A28" s="11" t="s">
        <v>606</v>
      </c>
      <c r="B28" s="13" t="s">
        <v>522</v>
      </c>
      <c r="D28" s="18"/>
    </row>
    <row r="29" spans="1:7" x14ac:dyDescent="0.3">
      <c r="A29" t="s">
        <v>609</v>
      </c>
      <c r="B29" t="s">
        <v>627</v>
      </c>
      <c r="D29" s="18"/>
    </row>
    <row r="30" spans="1:7" ht="28.8" x14ac:dyDescent="0.3">
      <c r="A30" s="21" t="s">
        <v>56</v>
      </c>
      <c r="B30" s="21" t="s">
        <v>630</v>
      </c>
      <c r="C30" s="21" t="s">
        <v>44</v>
      </c>
      <c r="D30" s="23" t="s">
        <v>619</v>
      </c>
      <c r="E30" s="21" t="s">
        <v>623</v>
      </c>
      <c r="F30" s="21" t="s">
        <v>514</v>
      </c>
      <c r="G30" s="21" t="s">
        <v>593</v>
      </c>
    </row>
    <row r="31" spans="1:7" x14ac:dyDescent="0.3">
      <c r="C31" t="s">
        <v>628</v>
      </c>
      <c r="D31" s="18"/>
    </row>
    <row r="32" spans="1:7" x14ac:dyDescent="0.3">
      <c r="D32" s="18"/>
    </row>
    <row r="34" spans="1:7" x14ac:dyDescent="0.3">
      <c r="A34" s="11" t="s">
        <v>608</v>
      </c>
      <c r="B34" t="s">
        <v>523</v>
      </c>
    </row>
    <row r="35" spans="1:7" x14ac:dyDescent="0.3">
      <c r="A35" t="s">
        <v>609</v>
      </c>
      <c r="B35" t="s">
        <v>632</v>
      </c>
    </row>
    <row r="36" spans="1:7" ht="28.8" x14ac:dyDescent="0.3">
      <c r="A36" s="21" t="s">
        <v>56</v>
      </c>
      <c r="B36" s="30" t="s">
        <v>633</v>
      </c>
      <c r="C36" s="21" t="s">
        <v>635</v>
      </c>
      <c r="D36" s="23" t="s">
        <v>619</v>
      </c>
      <c r="E36" s="21" t="s">
        <v>623</v>
      </c>
      <c r="F36" s="21" t="s">
        <v>514</v>
      </c>
      <c r="G36" s="21" t="s">
        <v>593</v>
      </c>
    </row>
    <row r="37" spans="1:7" x14ac:dyDescent="0.3">
      <c r="A37" s="25"/>
      <c r="C37" s="25" t="s">
        <v>636</v>
      </c>
      <c r="D37" s="25"/>
      <c r="E37" s="26"/>
    </row>
    <row r="38" spans="1:7" x14ac:dyDescent="0.3">
      <c r="A38" s="25"/>
    </row>
    <row r="39" spans="1:7" x14ac:dyDescent="0.3">
      <c r="A39" s="25"/>
      <c r="E39" s="26"/>
    </row>
    <row r="40" spans="1:7" ht="28.8" x14ac:dyDescent="0.3">
      <c r="A40" s="21" t="s">
        <v>56</v>
      </c>
      <c r="B40" s="30" t="s">
        <v>633</v>
      </c>
      <c r="C40" s="21" t="s">
        <v>44</v>
      </c>
      <c r="D40" s="23" t="s">
        <v>619</v>
      </c>
      <c r="E40" s="21" t="s">
        <v>623</v>
      </c>
      <c r="F40" s="21" t="s">
        <v>514</v>
      </c>
      <c r="G40" s="21" t="s">
        <v>593</v>
      </c>
    </row>
    <row r="41" spans="1:7" s="20" customFormat="1" x14ac:dyDescent="0.3">
      <c r="A41" s="28"/>
      <c r="B41" s="28"/>
      <c r="C41" s="28"/>
      <c r="D41" s="29"/>
      <c r="E41" s="28"/>
      <c r="F41" s="28"/>
      <c r="G41" s="28"/>
    </row>
    <row r="42" spans="1:7" x14ac:dyDescent="0.3">
      <c r="A42" s="25"/>
    </row>
    <row r="43" spans="1:7" ht="28.8" x14ac:dyDescent="0.3">
      <c r="A43" s="21" t="s">
        <v>56</v>
      </c>
      <c r="B43" s="30" t="s">
        <v>28</v>
      </c>
      <c r="C43" s="27" t="s">
        <v>618</v>
      </c>
      <c r="D43" s="21" t="s">
        <v>623</v>
      </c>
      <c r="E43" s="21" t="s">
        <v>514</v>
      </c>
      <c r="F43" s="21" t="s">
        <v>593</v>
      </c>
    </row>
    <row r="44" spans="1:7" x14ac:dyDescent="0.3">
      <c r="B44" t="s">
        <v>634</v>
      </c>
    </row>
    <row r="47" spans="1:7" x14ac:dyDescent="0.3">
      <c r="A47" s="11" t="s">
        <v>607</v>
      </c>
      <c r="B47" t="s">
        <v>524</v>
      </c>
    </row>
    <row r="48" spans="1:7" x14ac:dyDescent="0.3">
      <c r="A48" t="s">
        <v>609</v>
      </c>
      <c r="B48" t="s">
        <v>612</v>
      </c>
    </row>
    <row r="49" spans="1:5" x14ac:dyDescent="0.3">
      <c r="A49" s="21" t="s">
        <v>56</v>
      </c>
      <c r="B49" s="30" t="s">
        <v>633</v>
      </c>
      <c r="C49" s="30" t="s">
        <v>32</v>
      </c>
      <c r="D49" s="23" t="s">
        <v>619</v>
      </c>
      <c r="E49" s="21" t="s">
        <v>623</v>
      </c>
    </row>
    <row r="51" spans="1:5" x14ac:dyDescent="0.3">
      <c r="A51" s="21" t="s">
        <v>56</v>
      </c>
      <c r="B51" s="30" t="s">
        <v>516</v>
      </c>
      <c r="C51" s="31" t="s">
        <v>637</v>
      </c>
      <c r="D51" s="23" t="s">
        <v>619</v>
      </c>
      <c r="E51" s="21" t="s">
        <v>623</v>
      </c>
    </row>
    <row r="52" spans="1:5" x14ac:dyDescent="0.3">
      <c r="A52" s="25"/>
      <c r="B52" s="28"/>
      <c r="E52" s="25"/>
    </row>
    <row r="54" spans="1:5" x14ac:dyDescent="0.3">
      <c r="A54" s="11" t="s">
        <v>640</v>
      </c>
      <c r="B54" s="29" t="s">
        <v>642</v>
      </c>
    </row>
    <row r="55" spans="1:5" ht="28.8" x14ac:dyDescent="0.3">
      <c r="A55" s="21" t="s">
        <v>56</v>
      </c>
      <c r="B55" s="30" t="s">
        <v>643</v>
      </c>
      <c r="C55" s="21" t="s">
        <v>623</v>
      </c>
      <c r="D55" s="21" t="s">
        <v>514</v>
      </c>
      <c r="E55" s="21" t="s">
        <v>593</v>
      </c>
    </row>
    <row r="56" spans="1:5" x14ac:dyDescent="0.3">
      <c r="A56" t="s">
        <v>644</v>
      </c>
    </row>
    <row r="59" spans="1:5" x14ac:dyDescent="0.3">
      <c r="A59" s="32" t="s">
        <v>600</v>
      </c>
      <c r="B59" s="13" t="s">
        <v>638</v>
      </c>
    </row>
    <row r="60" spans="1:5" x14ac:dyDescent="0.3">
      <c r="A60" s="24" t="s">
        <v>609</v>
      </c>
      <c r="B60" t="s">
        <v>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4536-3099-48F4-A722-B64492237EBA}">
  <dimension ref="A1:C7"/>
  <sheetViews>
    <sheetView zoomScale="141" workbookViewId="0">
      <selection activeCell="C26" sqref="C26"/>
    </sheetView>
  </sheetViews>
  <sheetFormatPr defaultRowHeight="14.4" x14ac:dyDescent="0.3"/>
  <cols>
    <col min="1" max="1" width="12.88671875" bestFit="1" customWidth="1"/>
    <col min="2" max="2" width="24.77734375" bestFit="1" customWidth="1"/>
  </cols>
  <sheetData>
    <row r="1" spans="1:3" x14ac:dyDescent="0.3">
      <c r="A1" s="11" t="s">
        <v>18</v>
      </c>
      <c r="B1" s="11" t="s">
        <v>19</v>
      </c>
      <c r="C1" s="11" t="s">
        <v>20</v>
      </c>
    </row>
    <row r="2" spans="1:3" x14ac:dyDescent="0.3">
      <c r="A2" t="str">
        <f>+INDEX('Dizionario campi'!A:A,MATCH(B2,'Dizionario campi'!B:B,0),1)</f>
        <v>D19</v>
      </c>
      <c r="B2" t="s">
        <v>56</v>
      </c>
      <c r="C2" t="s">
        <v>23</v>
      </c>
    </row>
    <row r="3" spans="1:3" x14ac:dyDescent="0.3">
      <c r="A3" t="str">
        <f>+INDEX('Dizionario campi'!A:A,MATCH(B3,'Dizionario campi'!B:B,0),1)</f>
        <v>D33</v>
      </c>
      <c r="B3" t="s">
        <v>525</v>
      </c>
      <c r="C3" t="s">
        <v>527</v>
      </c>
    </row>
    <row r="4" spans="1:3" x14ac:dyDescent="0.3">
      <c r="A4" t="str">
        <f>+INDEX('Dizionario campi'!A:A,MATCH(B4,'Dizionario campi'!B:B,0),1)</f>
        <v>D34</v>
      </c>
      <c r="B4" t="s">
        <v>526</v>
      </c>
      <c r="C4" t="s">
        <v>23</v>
      </c>
    </row>
    <row r="5" spans="1:3" x14ac:dyDescent="0.3">
      <c r="A5" t="str">
        <f>+INDEX('Dizionario campi'!A:A,MATCH(B5,'Dizionario campi'!B:B,0),1)</f>
        <v>D4</v>
      </c>
      <c r="B5" t="s">
        <v>28</v>
      </c>
      <c r="C5" t="s">
        <v>23</v>
      </c>
    </row>
    <row r="6" spans="1:3" x14ac:dyDescent="0.3">
      <c r="A6" t="str">
        <f>+INDEX('Dizionario campi'!A:A,MATCH(B6,'Dizionario campi'!B:B,0),1)</f>
        <v>D17</v>
      </c>
      <c r="B6" t="s">
        <v>565</v>
      </c>
      <c r="C6" t="s">
        <v>23</v>
      </c>
    </row>
    <row r="7" spans="1:3" x14ac:dyDescent="0.3">
      <c r="A7" t="str">
        <f>+INDEX('Dizionario campi'!A:A,MATCH(B7,'Dizionario campi'!B:B,0),1)</f>
        <v>D6</v>
      </c>
      <c r="B7" t="s">
        <v>32</v>
      </c>
      <c r="C7" t="s">
        <v>23</v>
      </c>
    </row>
  </sheetData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18C7-8375-4B7F-8038-784D6FDAC6EC}">
  <dimension ref="A1:F18"/>
  <sheetViews>
    <sheetView zoomScale="127" workbookViewId="0">
      <selection activeCell="E5" sqref="E5"/>
    </sheetView>
  </sheetViews>
  <sheetFormatPr defaultRowHeight="14.4" x14ac:dyDescent="0.3"/>
  <cols>
    <col min="1" max="1" width="11.33203125" bestFit="1" customWidth="1"/>
    <col min="2" max="2" width="38.21875" customWidth="1"/>
    <col min="3" max="3" width="39.77734375" customWidth="1"/>
    <col min="4" max="4" width="11" bestFit="1" customWidth="1"/>
    <col min="5" max="5" width="37.33203125" customWidth="1"/>
    <col min="6" max="6" width="10.6640625" bestFit="1" customWidth="1"/>
  </cols>
  <sheetData>
    <row r="1" spans="1:6" ht="18" thickBot="1" x14ac:dyDescent="0.35">
      <c r="A1" s="39" t="s">
        <v>108</v>
      </c>
      <c r="B1" s="41" t="s">
        <v>53</v>
      </c>
      <c r="C1" s="41" t="s">
        <v>109</v>
      </c>
      <c r="D1" s="41" t="s">
        <v>20</v>
      </c>
      <c r="E1" s="41" t="s">
        <v>110</v>
      </c>
      <c r="F1" s="40" t="s">
        <v>111</v>
      </c>
    </row>
    <row r="2" spans="1:6" ht="18" thickBot="1" x14ac:dyDescent="0.35">
      <c r="A2" s="9" t="s">
        <v>112</v>
      </c>
      <c r="B2" s="10" t="s">
        <v>113</v>
      </c>
      <c r="C2" s="10" t="s">
        <v>113</v>
      </c>
      <c r="D2" s="10" t="s">
        <v>23</v>
      </c>
      <c r="E2" s="10" t="s">
        <v>114</v>
      </c>
      <c r="F2" s="10" t="s">
        <v>114</v>
      </c>
    </row>
    <row r="3" spans="1:6" ht="18" thickBot="1" x14ac:dyDescent="0.35">
      <c r="A3" s="9" t="s">
        <v>115</v>
      </c>
      <c r="B3" s="10" t="s">
        <v>116</v>
      </c>
      <c r="C3" s="10" t="s">
        <v>117</v>
      </c>
      <c r="D3" s="10" t="s">
        <v>23</v>
      </c>
      <c r="E3" s="10" t="s">
        <v>118</v>
      </c>
      <c r="F3" s="10" t="s">
        <v>114</v>
      </c>
    </row>
    <row r="4" spans="1:6" ht="18" thickBot="1" x14ac:dyDescent="0.35">
      <c r="A4" s="9" t="s">
        <v>119</v>
      </c>
      <c r="B4" s="10" t="s">
        <v>120</v>
      </c>
      <c r="C4" s="10" t="s">
        <v>121</v>
      </c>
      <c r="D4" s="10" t="s">
        <v>23</v>
      </c>
      <c r="E4" s="10" t="s">
        <v>118</v>
      </c>
      <c r="F4" s="10" t="s">
        <v>114</v>
      </c>
    </row>
    <row r="5" spans="1:6" ht="18" thickBot="1" x14ac:dyDescent="0.35">
      <c r="A5" s="9" t="s">
        <v>122</v>
      </c>
      <c r="B5" s="10" t="s">
        <v>123</v>
      </c>
      <c r="C5" s="10" t="s">
        <v>124</v>
      </c>
      <c r="D5" s="10" t="s">
        <v>51</v>
      </c>
      <c r="E5" s="10" t="s">
        <v>666</v>
      </c>
      <c r="F5" s="10" t="s">
        <v>125</v>
      </c>
    </row>
    <row r="6" spans="1:6" ht="18" thickBot="1" x14ac:dyDescent="0.35">
      <c r="A6" s="9" t="s">
        <v>126</v>
      </c>
      <c r="B6" s="10" t="s">
        <v>127</v>
      </c>
      <c r="C6" s="10" t="s">
        <v>128</v>
      </c>
      <c r="D6" s="10" t="s">
        <v>51</v>
      </c>
      <c r="E6" s="10" t="s">
        <v>686</v>
      </c>
      <c r="F6" s="10" t="s">
        <v>129</v>
      </c>
    </row>
    <row r="7" spans="1:6" ht="35.4" thickBot="1" x14ac:dyDescent="0.35">
      <c r="A7" s="9" t="s">
        <v>130</v>
      </c>
      <c r="B7" s="10" t="s">
        <v>131</v>
      </c>
      <c r="C7" s="10" t="s">
        <v>132</v>
      </c>
      <c r="D7" s="10" t="s">
        <v>51</v>
      </c>
      <c r="E7" s="10" t="s">
        <v>133</v>
      </c>
      <c r="F7" s="10" t="s">
        <v>134</v>
      </c>
    </row>
    <row r="8" spans="1:6" ht="18" thickBot="1" x14ac:dyDescent="0.35">
      <c r="A8" s="9" t="s">
        <v>135</v>
      </c>
      <c r="B8" s="10" t="s">
        <v>136</v>
      </c>
      <c r="C8" s="10" t="s">
        <v>137</v>
      </c>
      <c r="D8" s="10" t="s">
        <v>51</v>
      </c>
      <c r="E8" s="10" t="s">
        <v>138</v>
      </c>
      <c r="F8" s="10" t="s">
        <v>139</v>
      </c>
    </row>
    <row r="9" spans="1:6" ht="18" thickBot="1" x14ac:dyDescent="0.35">
      <c r="A9" s="9" t="s">
        <v>140</v>
      </c>
      <c r="B9" s="10" t="s">
        <v>141</v>
      </c>
      <c r="C9" s="10" t="s">
        <v>142</v>
      </c>
      <c r="D9" s="10" t="s">
        <v>51</v>
      </c>
      <c r="E9" s="10" t="s">
        <v>138</v>
      </c>
      <c r="F9" s="10" t="s">
        <v>139</v>
      </c>
    </row>
    <row r="10" spans="1:6" ht="18" thickBot="1" x14ac:dyDescent="0.35">
      <c r="A10" s="9" t="s">
        <v>143</v>
      </c>
      <c r="B10" s="10" t="s">
        <v>144</v>
      </c>
      <c r="C10" s="10" t="s">
        <v>91</v>
      </c>
      <c r="D10" s="10" t="s">
        <v>145</v>
      </c>
      <c r="E10" s="10" t="s">
        <v>133</v>
      </c>
      <c r="F10" s="10" t="s">
        <v>134</v>
      </c>
    </row>
    <row r="11" spans="1:6" ht="18" thickBot="1" x14ac:dyDescent="0.35">
      <c r="A11" s="9" t="s">
        <v>146</v>
      </c>
      <c r="B11" s="10" t="s">
        <v>147</v>
      </c>
      <c r="C11" s="10" t="s">
        <v>148</v>
      </c>
      <c r="D11" s="10" t="s">
        <v>23</v>
      </c>
      <c r="E11" s="10" t="s">
        <v>118</v>
      </c>
      <c r="F11" s="10" t="s">
        <v>114</v>
      </c>
    </row>
    <row r="12" spans="1:6" ht="18" thickBot="1" x14ac:dyDescent="0.35">
      <c r="A12" s="9" t="s">
        <v>149</v>
      </c>
      <c r="B12" s="10" t="s">
        <v>150</v>
      </c>
      <c r="C12" s="10" t="s">
        <v>151</v>
      </c>
      <c r="D12" s="10" t="s">
        <v>51</v>
      </c>
      <c r="E12" s="10" t="s">
        <v>152</v>
      </c>
      <c r="F12" s="10" t="s">
        <v>153</v>
      </c>
    </row>
    <row r="13" spans="1:6" ht="35.4" thickBot="1" x14ac:dyDescent="0.35">
      <c r="A13" s="9" t="s">
        <v>154</v>
      </c>
      <c r="B13" s="10" t="s">
        <v>155</v>
      </c>
      <c r="C13" s="10" t="s">
        <v>156</v>
      </c>
      <c r="D13" s="10" t="s">
        <v>51</v>
      </c>
      <c r="E13" s="10" t="s">
        <v>157</v>
      </c>
      <c r="F13" s="10" t="s">
        <v>158</v>
      </c>
    </row>
    <row r="14" spans="1:6" ht="18" thickBot="1" x14ac:dyDescent="0.35">
      <c r="A14" s="9" t="s">
        <v>159</v>
      </c>
      <c r="B14" s="10" t="s">
        <v>160</v>
      </c>
      <c r="C14" s="10" t="s">
        <v>161</v>
      </c>
      <c r="D14" s="10" t="s">
        <v>23</v>
      </c>
      <c r="E14" s="10" t="s">
        <v>118</v>
      </c>
      <c r="F14" s="10" t="s">
        <v>114</v>
      </c>
    </row>
    <row r="15" spans="1:6" ht="18" thickBot="1" x14ac:dyDescent="0.35">
      <c r="A15" s="9" t="s">
        <v>162</v>
      </c>
      <c r="B15" s="10" t="s">
        <v>163</v>
      </c>
      <c r="C15" s="10" t="s">
        <v>164</v>
      </c>
      <c r="D15" s="10" t="s">
        <v>51</v>
      </c>
      <c r="E15" s="10" t="s">
        <v>686</v>
      </c>
      <c r="F15" s="10" t="s">
        <v>129</v>
      </c>
    </row>
    <row r="16" spans="1:6" ht="18" thickBot="1" x14ac:dyDescent="0.35">
      <c r="A16" s="9" t="s">
        <v>165</v>
      </c>
      <c r="B16" s="10" t="s">
        <v>166</v>
      </c>
      <c r="C16" s="10" t="s">
        <v>167</v>
      </c>
      <c r="D16" s="10" t="s">
        <v>23</v>
      </c>
      <c r="E16" s="10" t="s">
        <v>686</v>
      </c>
      <c r="F16" s="10" t="s">
        <v>129</v>
      </c>
    </row>
    <row r="17" spans="1:6" ht="70.2" thickBot="1" x14ac:dyDescent="0.35">
      <c r="A17" s="9" t="s">
        <v>168</v>
      </c>
      <c r="B17" s="10" t="s">
        <v>169</v>
      </c>
      <c r="C17" s="10" t="s">
        <v>170</v>
      </c>
      <c r="D17" s="10" t="s">
        <v>51</v>
      </c>
      <c r="E17" s="10" t="s">
        <v>171</v>
      </c>
      <c r="F17" s="10" t="s">
        <v>114</v>
      </c>
    </row>
    <row r="18" spans="1:6" ht="18" thickBot="1" x14ac:dyDescent="0.35">
      <c r="A18" s="9" t="s">
        <v>172</v>
      </c>
      <c r="B18" s="10" t="s">
        <v>103</v>
      </c>
      <c r="C18" s="10" t="s">
        <v>118</v>
      </c>
      <c r="D18" s="10" t="s">
        <v>173</v>
      </c>
      <c r="E18" s="10" t="s">
        <v>174</v>
      </c>
      <c r="F18" s="10" t="s">
        <v>114</v>
      </c>
    </row>
  </sheetData>
  <autoFilter ref="A1:F18" xr:uid="{4E4318C7-8375-4B7F-8038-784D6FDAC6EC}"/>
  <pageMargins left="0.7" right="0.7" top="0.75" bottom="0.75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5A38-43DB-4F70-8575-1E8ED5902D3F}">
  <dimension ref="A1:AB37"/>
  <sheetViews>
    <sheetView tabSelected="1" zoomScale="111" workbookViewId="0">
      <selection activeCell="D13" sqref="D13"/>
    </sheetView>
  </sheetViews>
  <sheetFormatPr defaultRowHeight="14.4" x14ac:dyDescent="0.3"/>
  <cols>
    <col min="1" max="1" width="11.77734375" customWidth="1"/>
    <col min="6" max="6" width="16.21875" customWidth="1"/>
    <col min="7" max="7" width="20.5546875" customWidth="1"/>
    <col min="8" max="8" width="23" customWidth="1"/>
    <col min="9" max="9" width="20.77734375" customWidth="1"/>
    <col min="10" max="10" width="20.5546875" customWidth="1"/>
    <col min="11" max="11" width="18.21875" customWidth="1"/>
    <col min="12" max="12" width="15.33203125" customWidth="1"/>
    <col min="13" max="13" width="16.44140625" customWidth="1"/>
    <col min="14" max="29" width="15.109375" customWidth="1"/>
  </cols>
  <sheetData>
    <row r="1" spans="1:14" x14ac:dyDescent="0.3">
      <c r="A1" s="11" t="s">
        <v>125</v>
      </c>
      <c r="B1" t="s">
        <v>712</v>
      </c>
    </row>
    <row r="2" spans="1:14" x14ac:dyDescent="0.3">
      <c r="A2" t="s">
        <v>609</v>
      </c>
      <c r="B2" t="s">
        <v>612</v>
      </c>
    </row>
    <row r="3" spans="1:14" ht="43.2" x14ac:dyDescent="0.3">
      <c r="A3" s="21" t="s">
        <v>56</v>
      </c>
      <c r="B3" s="21" t="s">
        <v>594</v>
      </c>
      <c r="C3" s="21" t="s">
        <v>30</v>
      </c>
      <c r="D3" s="21" t="s">
        <v>32</v>
      </c>
      <c r="E3" s="21" t="s">
        <v>34</v>
      </c>
      <c r="F3" s="21" t="s">
        <v>618</v>
      </c>
      <c r="G3" s="21" t="s">
        <v>665</v>
      </c>
      <c r="H3" s="21" t="s">
        <v>669</v>
      </c>
      <c r="I3" s="21" t="s">
        <v>646</v>
      </c>
      <c r="J3" s="35" t="s">
        <v>645</v>
      </c>
    </row>
    <row r="4" spans="1:14" x14ac:dyDescent="0.3">
      <c r="H4" t="s">
        <v>623</v>
      </c>
      <c r="I4" t="s">
        <v>631</v>
      </c>
      <c r="J4" t="s">
        <v>710</v>
      </c>
    </row>
    <row r="6" spans="1:14" x14ac:dyDescent="0.3">
      <c r="A6" s="11" t="s">
        <v>129</v>
      </c>
      <c r="B6" t="s">
        <v>713</v>
      </c>
    </row>
    <row r="7" spans="1:14" x14ac:dyDescent="0.3">
      <c r="A7" t="s">
        <v>609</v>
      </c>
      <c r="B7" t="s">
        <v>647</v>
      </c>
    </row>
    <row r="8" spans="1:14" ht="43.2" x14ac:dyDescent="0.3">
      <c r="A8" s="21" t="s">
        <v>56</v>
      </c>
      <c r="B8" s="21" t="s">
        <v>594</v>
      </c>
      <c r="C8" s="21" t="s">
        <v>30</v>
      </c>
      <c r="D8" s="21" t="s">
        <v>32</v>
      </c>
      <c r="E8" s="21" t="s">
        <v>34</v>
      </c>
      <c r="F8" s="21" t="s">
        <v>618</v>
      </c>
      <c r="G8" s="21" t="s">
        <v>650</v>
      </c>
      <c r="H8" s="21" t="s">
        <v>649</v>
      </c>
      <c r="I8" s="21" t="s">
        <v>653</v>
      </c>
      <c r="J8" s="34" t="s">
        <v>654</v>
      </c>
      <c r="K8" s="21" t="s">
        <v>651</v>
      </c>
      <c r="L8" s="34" t="s">
        <v>652</v>
      </c>
      <c r="M8" s="21" t="s">
        <v>655</v>
      </c>
      <c r="N8" s="34" t="s">
        <v>656</v>
      </c>
    </row>
    <row r="9" spans="1:14" x14ac:dyDescent="0.3">
      <c r="E9" t="s">
        <v>648</v>
      </c>
      <c r="H9" t="s">
        <v>623</v>
      </c>
      <c r="I9" t="s">
        <v>631</v>
      </c>
      <c r="J9" t="s">
        <v>710</v>
      </c>
      <c r="K9" t="s">
        <v>631</v>
      </c>
      <c r="L9" t="s">
        <v>710</v>
      </c>
      <c r="M9" t="s">
        <v>631</v>
      </c>
      <c r="N9" t="s">
        <v>710</v>
      </c>
    </row>
    <row r="11" spans="1:14" x14ac:dyDescent="0.3">
      <c r="A11" s="11" t="s">
        <v>134</v>
      </c>
      <c r="B11" t="s">
        <v>714</v>
      </c>
    </row>
    <row r="12" spans="1:14" x14ac:dyDescent="0.3">
      <c r="A12" t="s">
        <v>609</v>
      </c>
      <c r="B12" t="s">
        <v>657</v>
      </c>
    </row>
    <row r="13" spans="1:14" ht="28.8" x14ac:dyDescent="0.3">
      <c r="A13" s="21" t="s">
        <v>56</v>
      </c>
      <c r="B13" s="21" t="s">
        <v>594</v>
      </c>
      <c r="C13" s="21" t="s">
        <v>30</v>
      </c>
      <c r="D13" s="21" t="s">
        <v>32</v>
      </c>
      <c r="E13" s="21" t="s">
        <v>34</v>
      </c>
      <c r="F13" s="21" t="s">
        <v>618</v>
      </c>
      <c r="G13" s="21" t="s">
        <v>658</v>
      </c>
      <c r="H13" s="21" t="s">
        <v>659</v>
      </c>
      <c r="I13" s="21" t="s">
        <v>663</v>
      </c>
      <c r="J13" s="35" t="s">
        <v>660</v>
      </c>
      <c r="K13" s="21" t="s">
        <v>661</v>
      </c>
      <c r="L13" s="35" t="s">
        <v>662</v>
      </c>
    </row>
    <row r="14" spans="1:14" x14ac:dyDescent="0.3">
      <c r="H14" t="s">
        <v>623</v>
      </c>
      <c r="I14" t="s">
        <v>631</v>
      </c>
      <c r="J14" t="s">
        <v>710</v>
      </c>
      <c r="K14" t="s">
        <v>631</v>
      </c>
      <c r="L14" t="s">
        <v>710</v>
      </c>
    </row>
    <row r="16" spans="1:14" x14ac:dyDescent="0.3">
      <c r="A16" s="11" t="s">
        <v>139</v>
      </c>
      <c r="B16" t="s">
        <v>715</v>
      </c>
    </row>
    <row r="17" spans="1:12" x14ac:dyDescent="0.3">
      <c r="A17" t="s">
        <v>609</v>
      </c>
      <c r="B17" t="s">
        <v>664</v>
      </c>
    </row>
    <row r="18" spans="1:12" ht="43.2" x14ac:dyDescent="0.3">
      <c r="A18" s="21" t="s">
        <v>56</v>
      </c>
      <c r="B18" s="21" t="s">
        <v>594</v>
      </c>
      <c r="C18" s="21" t="s">
        <v>30</v>
      </c>
      <c r="D18" s="21" t="s">
        <v>32</v>
      </c>
      <c r="E18" s="21" t="s">
        <v>34</v>
      </c>
      <c r="F18" s="30" t="s">
        <v>621</v>
      </c>
      <c r="G18" s="21" t="s">
        <v>668</v>
      </c>
      <c r="H18" s="21" t="s">
        <v>670</v>
      </c>
      <c r="I18" s="21" t="s">
        <v>671</v>
      </c>
      <c r="J18" s="35" t="s">
        <v>672</v>
      </c>
      <c r="K18" s="21" t="s">
        <v>673</v>
      </c>
      <c r="L18" s="35" t="s">
        <v>674</v>
      </c>
    </row>
    <row r="19" spans="1:12" x14ac:dyDescent="0.3">
      <c r="B19" t="s">
        <v>667</v>
      </c>
      <c r="H19" t="s">
        <v>623</v>
      </c>
      <c r="I19" t="s">
        <v>631</v>
      </c>
      <c r="J19" t="s">
        <v>710</v>
      </c>
      <c r="K19" t="s">
        <v>631</v>
      </c>
      <c r="L19" t="s">
        <v>710</v>
      </c>
    </row>
    <row r="22" spans="1:12" x14ac:dyDescent="0.3">
      <c r="A22" s="11" t="s">
        <v>153</v>
      </c>
      <c r="B22" t="s">
        <v>716</v>
      </c>
    </row>
    <row r="23" spans="1:12" x14ac:dyDescent="0.3">
      <c r="A23" t="s">
        <v>609</v>
      </c>
      <c r="B23" t="s">
        <v>675</v>
      </c>
    </row>
    <row r="24" spans="1:12" ht="43.2" x14ac:dyDescent="0.3">
      <c r="A24" s="21" t="s">
        <v>56</v>
      </c>
      <c r="B24" s="21" t="s">
        <v>594</v>
      </c>
      <c r="C24" s="21" t="s">
        <v>30</v>
      </c>
      <c r="D24" s="21" t="s">
        <v>32</v>
      </c>
      <c r="E24" s="21" t="s">
        <v>34</v>
      </c>
      <c r="F24" s="21" t="s">
        <v>113</v>
      </c>
      <c r="G24" s="21" t="s">
        <v>677</v>
      </c>
      <c r="H24" s="21" t="s">
        <v>678</v>
      </c>
      <c r="I24" s="21" t="s">
        <v>679</v>
      </c>
      <c r="J24" s="35" t="s">
        <v>680</v>
      </c>
    </row>
    <row r="25" spans="1:12" x14ac:dyDescent="0.3">
      <c r="B25" t="s">
        <v>676</v>
      </c>
      <c r="H25" t="s">
        <v>623</v>
      </c>
      <c r="I25" t="s">
        <v>631</v>
      </c>
      <c r="J25" t="s">
        <v>710</v>
      </c>
    </row>
    <row r="28" spans="1:12" x14ac:dyDescent="0.3">
      <c r="A28" s="11" t="s">
        <v>158</v>
      </c>
      <c r="B28" t="s">
        <v>717</v>
      </c>
    </row>
    <row r="29" spans="1:12" x14ac:dyDescent="0.3">
      <c r="A29" t="s">
        <v>609</v>
      </c>
      <c r="B29" t="s">
        <v>681</v>
      </c>
    </row>
    <row r="30" spans="1:12" ht="57.6" x14ac:dyDescent="0.3">
      <c r="A30" s="21" t="s">
        <v>56</v>
      </c>
      <c r="B30" s="21" t="s">
        <v>594</v>
      </c>
      <c r="C30" s="21" t="s">
        <v>30</v>
      </c>
      <c r="D30" s="21" t="s">
        <v>32</v>
      </c>
      <c r="E30" s="21" t="s">
        <v>34</v>
      </c>
      <c r="F30" s="21" t="s">
        <v>618</v>
      </c>
      <c r="G30" s="21" t="s">
        <v>682</v>
      </c>
      <c r="H30" s="21" t="s">
        <v>683</v>
      </c>
      <c r="I30" s="21" t="s">
        <v>684</v>
      </c>
      <c r="J30" s="35" t="s">
        <v>685</v>
      </c>
    </row>
    <row r="31" spans="1:12" x14ac:dyDescent="0.3">
      <c r="H31" t="s">
        <v>623</v>
      </c>
      <c r="I31" t="s">
        <v>631</v>
      </c>
      <c r="J31" t="s">
        <v>710</v>
      </c>
    </row>
    <row r="34" spans="1:28" x14ac:dyDescent="0.3">
      <c r="A34" s="11" t="s">
        <v>14</v>
      </c>
      <c r="B34" t="s">
        <v>718</v>
      </c>
    </row>
    <row r="35" spans="1:28" x14ac:dyDescent="0.3">
      <c r="A35" t="s">
        <v>609</v>
      </c>
      <c r="B35" t="s">
        <v>687</v>
      </c>
    </row>
    <row r="36" spans="1:28" ht="51.6" customHeight="1" x14ac:dyDescent="0.3">
      <c r="A36" s="21" t="s">
        <v>56</v>
      </c>
      <c r="B36" s="21" t="s">
        <v>594</v>
      </c>
      <c r="C36" s="21" t="s">
        <v>30</v>
      </c>
      <c r="D36" s="21" t="s">
        <v>32</v>
      </c>
      <c r="E36" s="21" t="s">
        <v>34</v>
      </c>
      <c r="F36" s="22" t="s">
        <v>516</v>
      </c>
      <c r="G36" s="22" t="s">
        <v>708</v>
      </c>
      <c r="H36" s="22" t="s">
        <v>709</v>
      </c>
      <c r="I36" s="30" t="s">
        <v>688</v>
      </c>
      <c r="J36" s="34" t="s">
        <v>689</v>
      </c>
      <c r="K36" s="30" t="s">
        <v>690</v>
      </c>
      <c r="L36" s="34" t="s">
        <v>691</v>
      </c>
      <c r="M36" s="30" t="s">
        <v>692</v>
      </c>
      <c r="N36" s="34" t="s">
        <v>693</v>
      </c>
      <c r="O36" s="30" t="s">
        <v>694</v>
      </c>
      <c r="P36" s="34" t="s">
        <v>695</v>
      </c>
      <c r="Q36" s="30" t="s">
        <v>696</v>
      </c>
      <c r="R36" s="34" t="s">
        <v>697</v>
      </c>
      <c r="S36" s="30" t="s">
        <v>698</v>
      </c>
      <c r="T36" s="34" t="s">
        <v>699</v>
      </c>
      <c r="U36" s="30" t="s">
        <v>700</v>
      </c>
      <c r="V36" s="34" t="s">
        <v>701</v>
      </c>
      <c r="W36" s="30" t="s">
        <v>702</v>
      </c>
      <c r="X36" s="34" t="s">
        <v>703</v>
      </c>
      <c r="Y36" s="30" t="s">
        <v>704</v>
      </c>
      <c r="Z36" s="34" t="s">
        <v>705</v>
      </c>
      <c r="AA36" s="30" t="s">
        <v>706</v>
      </c>
      <c r="AB36" s="34" t="s">
        <v>707</v>
      </c>
    </row>
    <row r="37" spans="1:28" x14ac:dyDescent="0.3">
      <c r="H37" t="s">
        <v>623</v>
      </c>
      <c r="I37" s="33" t="s">
        <v>631</v>
      </c>
      <c r="J37" t="s">
        <v>710</v>
      </c>
      <c r="K37" s="33" t="s">
        <v>631</v>
      </c>
      <c r="L37" t="s">
        <v>710</v>
      </c>
      <c r="M37" s="33" t="s">
        <v>631</v>
      </c>
      <c r="N37" t="s">
        <v>710</v>
      </c>
      <c r="O37" s="33" t="s">
        <v>631</v>
      </c>
      <c r="P37" t="s">
        <v>710</v>
      </c>
      <c r="Q37" s="33" t="s">
        <v>631</v>
      </c>
      <c r="R37" t="s">
        <v>710</v>
      </c>
      <c r="S37" s="33" t="s">
        <v>631</v>
      </c>
      <c r="T37" t="s">
        <v>710</v>
      </c>
      <c r="U37" s="33" t="s">
        <v>631</v>
      </c>
      <c r="V37" t="s">
        <v>710</v>
      </c>
      <c r="W37" s="33" t="s">
        <v>631</v>
      </c>
      <c r="X37" t="s">
        <v>710</v>
      </c>
      <c r="Y37" s="33" t="s">
        <v>631</v>
      </c>
      <c r="Z37" t="s">
        <v>710</v>
      </c>
      <c r="AA37" s="33" t="s">
        <v>631</v>
      </c>
      <c r="AB37" t="s">
        <v>710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6F8B-42FB-460A-AE3B-8555BC281206}">
  <dimension ref="A1:F17"/>
  <sheetViews>
    <sheetView workbookViewId="0">
      <selection activeCell="E20" sqref="E20"/>
    </sheetView>
  </sheetViews>
  <sheetFormatPr defaultColWidth="23.6640625" defaultRowHeight="14.4" x14ac:dyDescent="0.3"/>
  <cols>
    <col min="1" max="1" width="4.77734375" customWidth="1"/>
    <col min="2" max="2" width="15.21875" bestFit="1" customWidth="1"/>
    <col min="3" max="6" width="46.109375" style="8" customWidth="1"/>
  </cols>
  <sheetData>
    <row r="1" spans="1:6" ht="18" thickBot="1" x14ac:dyDescent="0.35">
      <c r="A1" s="42" t="s">
        <v>57</v>
      </c>
      <c r="B1" s="43" t="s">
        <v>58</v>
      </c>
      <c r="C1" s="44" t="s">
        <v>53</v>
      </c>
      <c r="D1" s="45" t="s">
        <v>556</v>
      </c>
      <c r="E1" s="44" t="s">
        <v>557</v>
      </c>
      <c r="F1" s="44" t="s">
        <v>558</v>
      </c>
    </row>
    <row r="2" spans="1:6" ht="35.4" thickBot="1" x14ac:dyDescent="0.35">
      <c r="A2" s="36">
        <v>0</v>
      </c>
      <c r="B2" s="7" t="s">
        <v>113</v>
      </c>
      <c r="C2" s="6" t="s">
        <v>113</v>
      </c>
      <c r="D2" s="6" t="s">
        <v>559</v>
      </c>
      <c r="E2" s="6" t="s">
        <v>70</v>
      </c>
      <c r="F2" s="6" t="s">
        <v>71</v>
      </c>
    </row>
    <row r="3" spans="1:6" ht="52.8" thickBot="1" x14ac:dyDescent="0.35">
      <c r="A3" s="36">
        <v>1</v>
      </c>
      <c r="B3" s="7" t="s">
        <v>59</v>
      </c>
      <c r="C3" s="6" t="s">
        <v>60</v>
      </c>
      <c r="D3" s="6" t="s">
        <v>61</v>
      </c>
      <c r="E3" s="6" t="s">
        <v>62</v>
      </c>
      <c r="F3" s="6" t="s">
        <v>63</v>
      </c>
    </row>
    <row r="4" spans="1:6" ht="52.8" thickBot="1" x14ac:dyDescent="0.35">
      <c r="A4" s="36">
        <v>2</v>
      </c>
      <c r="B4" s="7" t="s">
        <v>59</v>
      </c>
      <c r="C4" s="6" t="s">
        <v>64</v>
      </c>
      <c r="D4" s="6" t="s">
        <v>65</v>
      </c>
      <c r="E4" s="6" t="s">
        <v>66</v>
      </c>
      <c r="F4" s="6" t="s">
        <v>67</v>
      </c>
    </row>
    <row r="5" spans="1:6" ht="35.4" thickBot="1" x14ac:dyDescent="0.35">
      <c r="A5" s="36">
        <v>3</v>
      </c>
      <c r="B5" s="7" t="s">
        <v>59</v>
      </c>
      <c r="C5" s="6" t="s">
        <v>68</v>
      </c>
      <c r="D5" s="6" t="s">
        <v>69</v>
      </c>
      <c r="E5" s="6" t="s">
        <v>70</v>
      </c>
      <c r="F5" s="6" t="s">
        <v>71</v>
      </c>
    </row>
    <row r="6" spans="1:6" ht="35.4" thickBot="1" x14ac:dyDescent="0.35">
      <c r="A6" s="36">
        <v>4</v>
      </c>
      <c r="B6" s="7" t="s">
        <v>59</v>
      </c>
      <c r="C6" s="6" t="s">
        <v>72</v>
      </c>
      <c r="D6" s="6" t="s">
        <v>69</v>
      </c>
      <c r="E6" s="6" t="s">
        <v>70</v>
      </c>
      <c r="F6" s="6" t="s">
        <v>71</v>
      </c>
    </row>
    <row r="7" spans="1:6" ht="35.4" thickBot="1" x14ac:dyDescent="0.35">
      <c r="A7" s="36">
        <v>5</v>
      </c>
      <c r="B7" s="7" t="s">
        <v>73</v>
      </c>
      <c r="C7" s="6" t="s">
        <v>74</v>
      </c>
      <c r="D7" s="6" t="s">
        <v>75</v>
      </c>
      <c r="E7" s="6" t="s">
        <v>76</v>
      </c>
      <c r="F7" s="6" t="s">
        <v>77</v>
      </c>
    </row>
    <row r="8" spans="1:6" ht="35.4" thickBot="1" x14ac:dyDescent="0.35">
      <c r="A8" s="36">
        <v>6</v>
      </c>
      <c r="B8" s="7" t="s">
        <v>78</v>
      </c>
      <c r="C8" s="6" t="s">
        <v>79</v>
      </c>
      <c r="D8" s="6" t="s">
        <v>80</v>
      </c>
      <c r="E8" s="6" t="s">
        <v>76</v>
      </c>
      <c r="F8" s="6" t="s">
        <v>81</v>
      </c>
    </row>
    <row r="9" spans="1:6" ht="35.4" thickBot="1" x14ac:dyDescent="0.35">
      <c r="A9" s="36">
        <v>7</v>
      </c>
      <c r="B9" s="7" t="s">
        <v>78</v>
      </c>
      <c r="C9" s="6" t="s">
        <v>82</v>
      </c>
      <c r="D9" s="6" t="s">
        <v>83</v>
      </c>
      <c r="E9" s="6" t="s">
        <v>76</v>
      </c>
      <c r="F9" s="6" t="s">
        <v>84</v>
      </c>
    </row>
    <row r="10" spans="1:6" ht="35.4" thickBot="1" x14ac:dyDescent="0.35">
      <c r="A10" s="36">
        <v>8</v>
      </c>
      <c r="B10" s="7" t="s">
        <v>78</v>
      </c>
      <c r="C10" s="6" t="s">
        <v>85</v>
      </c>
      <c r="D10" s="6" t="s">
        <v>86</v>
      </c>
      <c r="E10" s="6" t="s">
        <v>76</v>
      </c>
      <c r="F10" s="6" t="s">
        <v>87</v>
      </c>
    </row>
    <row r="11" spans="1:6" ht="35.4" thickBot="1" x14ac:dyDescent="0.35">
      <c r="A11" s="36">
        <v>9</v>
      </c>
      <c r="B11" s="7" t="s">
        <v>78</v>
      </c>
      <c r="C11" s="6" t="s">
        <v>88</v>
      </c>
      <c r="D11" s="6" t="s">
        <v>86</v>
      </c>
      <c r="E11" s="6" t="s">
        <v>89</v>
      </c>
      <c r="F11" s="6" t="s">
        <v>90</v>
      </c>
    </row>
    <row r="12" spans="1:6" ht="35.4" thickBot="1" x14ac:dyDescent="0.35">
      <c r="A12" s="36">
        <v>10</v>
      </c>
      <c r="B12" s="7" t="s">
        <v>78</v>
      </c>
      <c r="C12" s="6" t="s">
        <v>91</v>
      </c>
      <c r="D12" s="6" t="s">
        <v>69</v>
      </c>
      <c r="E12" s="6" t="s">
        <v>70</v>
      </c>
      <c r="F12" s="6" t="s">
        <v>71</v>
      </c>
    </row>
    <row r="13" spans="1:6" ht="35.4" thickBot="1" x14ac:dyDescent="0.35">
      <c r="A13" s="36">
        <v>11</v>
      </c>
      <c r="B13" s="7" t="s">
        <v>78</v>
      </c>
      <c r="C13" s="6" t="s">
        <v>92</v>
      </c>
      <c r="D13" s="6" t="s">
        <v>69</v>
      </c>
      <c r="E13" s="6" t="s">
        <v>70</v>
      </c>
      <c r="F13" s="6" t="s">
        <v>71</v>
      </c>
    </row>
    <row r="14" spans="1:6" ht="35.4" thickBot="1" x14ac:dyDescent="0.35">
      <c r="A14" s="36">
        <v>12</v>
      </c>
      <c r="B14" s="7" t="s">
        <v>78</v>
      </c>
      <c r="C14" s="6" t="s">
        <v>93</v>
      </c>
      <c r="D14" s="6" t="s">
        <v>69</v>
      </c>
      <c r="E14" s="6" t="s">
        <v>70</v>
      </c>
      <c r="F14" s="6" t="s">
        <v>71</v>
      </c>
    </row>
    <row r="15" spans="1:6" ht="35.4" thickBot="1" x14ac:dyDescent="0.35">
      <c r="A15" s="36">
        <v>13</v>
      </c>
      <c r="B15" s="7" t="s">
        <v>78</v>
      </c>
      <c r="C15" s="6" t="s">
        <v>94</v>
      </c>
      <c r="D15" s="6" t="s">
        <v>95</v>
      </c>
      <c r="E15" s="6" t="s">
        <v>96</v>
      </c>
      <c r="F15" s="6" t="s">
        <v>97</v>
      </c>
    </row>
    <row r="16" spans="1:6" ht="52.8" thickBot="1" x14ac:dyDescent="0.35">
      <c r="A16" s="36">
        <v>14</v>
      </c>
      <c r="B16" s="7" t="s">
        <v>98</v>
      </c>
      <c r="C16" s="6" t="s">
        <v>99</v>
      </c>
      <c r="D16" s="6" t="s">
        <v>100</v>
      </c>
      <c r="E16" s="6" t="s">
        <v>101</v>
      </c>
      <c r="F16" s="6" t="s">
        <v>102</v>
      </c>
    </row>
    <row r="17" spans="1:6" ht="52.8" thickBot="1" x14ac:dyDescent="0.35">
      <c r="A17" s="36">
        <v>15</v>
      </c>
      <c r="B17" s="7" t="s">
        <v>103</v>
      </c>
      <c r="C17" s="6" t="s">
        <v>104</v>
      </c>
      <c r="D17" s="6" t="s">
        <v>105</v>
      </c>
      <c r="E17" s="6" t="s">
        <v>106</v>
      </c>
      <c r="F17" s="6" t="s">
        <v>107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45C3C-105F-4410-905F-2D3761CD28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AADEDC-5B38-496D-86E2-E2BD780DE0C7}">
  <ds:schemaRefs>
    <ds:schemaRef ds:uri="http://schemas.microsoft.com/office/2006/metadata/properties"/>
    <ds:schemaRef ds:uri="http://schemas.microsoft.com/office/infopath/2007/PartnerControls"/>
    <ds:schemaRef ds:uri="f222903d-8679-43da-9a9c-620ddc805fc2"/>
    <ds:schemaRef ds:uri="7caceaca-20ef-42d2-b1d4-1dae242b6e79"/>
    <ds:schemaRef ds:uri="c99eb337-000b-4878-a4ff-8330c82a1935"/>
  </ds:schemaRefs>
</ds:datastoreItem>
</file>

<file path=customXml/itemProps3.xml><?xml version="1.0" encoding="utf-8"?>
<ds:datastoreItem xmlns:ds="http://schemas.openxmlformats.org/officeDocument/2006/customXml" ds:itemID="{A2A0CE9B-821F-4D52-80D1-970EB7861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Convenzioni codifica</vt:lpstr>
      <vt:lpstr>Dizionario campi</vt:lpstr>
      <vt:lpstr>TG1-Anagrafica Prodotti</vt:lpstr>
      <vt:lpstr>TG2-Anarafica Istituti</vt:lpstr>
      <vt:lpstr>TG3-Anagrafica Reti-Agenti</vt:lpstr>
      <vt:lpstr>TG4-Mappatura bilancio</vt:lpstr>
      <vt:lpstr>TG5-Elenco voci con standard</vt:lpstr>
      <vt:lpstr>TG5.1-Regole standard</vt:lpstr>
      <vt:lpstr>TG6-Dati propedeutici forecast</vt:lpstr>
      <vt:lpstr>RIB-Elenco voci con regole rib</vt:lpstr>
      <vt:lpstr>RIB.1-Regole ribaltamento</vt:lpstr>
      <vt:lpstr>STEP-Elenco voci regole proiez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Benizzi</dc:creator>
  <cp:lastModifiedBy>Serena Benizzi</cp:lastModifiedBy>
  <dcterms:created xsi:type="dcterms:W3CDTF">2015-06-05T18:17:20Z</dcterms:created>
  <dcterms:modified xsi:type="dcterms:W3CDTF">2026-06-17T13:47:44Z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0x01010021F8C1811CFC2849BB075804AB038327</vt:lpwstr>
  </property>
  <property fmtid="{D5CDD505-2E9C-101B-9397-08002B2CF9AE}" pid="3" name="MediaServiceImageTags">
    <vt:lpwstr/>
  </property>
</Properties>
</file>