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xtgroup-my.sharepoint.com/personal/serena_benizzi_txtgroup_com/Documents/Desktop/"/>
    </mc:Choice>
  </mc:AlternateContent>
  <xr:revisionPtr revIDLastSave="383" documentId="8_{33E4A8AE-D4A9-4BBC-898C-5DB59AA5CDD1}" xr6:coauthVersionLast="47" xr6:coauthVersionMax="47" xr10:uidLastSave="{A9E257B3-AC0A-45C1-9FFB-C6F1C441AC36}"/>
  <bookViews>
    <workbookView xWindow="28680" yWindow="-120" windowWidth="38640" windowHeight="21120" xr2:uid="{756C468E-2683-47CA-9F34-9A430765986F}"/>
  </bookViews>
  <sheets>
    <sheet name="Dettagli" sheetId="1" r:id="rId1"/>
    <sheet name="Pivot per monitoraggio" sheetId="2" r:id="rId2"/>
  </sheets>
  <externalReferences>
    <externalReference r:id="rId3"/>
    <externalReference r:id="rId4"/>
  </externalReferences>
  <definedNames>
    <definedName name="_xlnm._FilterDatabase" localSheetId="0" hidden="1">Dettagli!$A$1:$R$2</definedName>
    <definedName name="Display_Week">'[1]Project schedule'!$Q$2</definedName>
    <definedName name="Inizio_progetto">[2]PianificazioneProgetto!$D$3</definedName>
    <definedName name="Project_Start">'[1]Project schedule'!$Q$1</definedName>
    <definedName name="Visualizza_settimana">[2]PianificazioneProgetto!$D$4</definedName>
  </definedNames>
  <calcPr calcId="191028" concurrentManualCount="12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R10" i="1"/>
  <c r="P8" i="1"/>
  <c r="P9" i="1"/>
  <c r="R9" i="1"/>
  <c r="P10" i="1"/>
  <c r="P11" i="1"/>
  <c r="R11" i="1"/>
  <c r="P12" i="1"/>
  <c r="R12" i="1"/>
  <c r="R3" i="1"/>
  <c r="P3" i="1"/>
  <c r="R23" i="1" l="1"/>
  <c r="R22" i="1"/>
  <c r="R20" i="1"/>
  <c r="R17" i="1"/>
  <c r="R14" i="1"/>
  <c r="R4" i="1" l="1"/>
  <c r="R6" i="1"/>
  <c r="R7" i="1"/>
  <c r="R13" i="1"/>
  <c r="R15" i="1"/>
  <c r="R16" i="1"/>
  <c r="R18" i="1"/>
  <c r="R19" i="1"/>
  <c r="R21" i="1"/>
  <c r="R25" i="1"/>
  <c r="R27" i="1"/>
  <c r="R29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P4" i="1"/>
  <c r="P6" i="1"/>
  <c r="P7" i="1"/>
  <c r="P13" i="1"/>
  <c r="P15" i="1"/>
  <c r="P16" i="1"/>
  <c r="P18" i="1"/>
  <c r="P19" i="1"/>
  <c r="P21" i="1"/>
  <c r="P25" i="1"/>
  <c r="P27" i="1"/>
  <c r="P29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Paola Saiani</author>
  </authors>
  <commentList>
    <comment ref="A1" authorId="0" shapeId="0" xr:uid="{EAA7CA1F-A840-4E85-8EEE-F68894607D9B}">
      <text>
        <r>
          <rPr>
            <b/>
            <sz val="9"/>
            <color indexed="81"/>
            <rFont val="Tahoma"/>
            <family val="2"/>
          </rPr>
          <t>Paola Saiani:</t>
        </r>
        <r>
          <rPr>
            <sz val="9"/>
            <color indexed="81"/>
            <rFont val="Tahoma"/>
            <family val="2"/>
          </rPr>
          <t xml:space="preserve">
A = analisi
E = esecuzione
M = milestone
D = deliverable
Cross = attività trasversale
A-R = analisi raccolta req
A-F = analisi formalizzazione
A-V = analisi validazione</t>
        </r>
      </text>
    </comment>
  </commentList>
</comments>
</file>

<file path=xl/sharedStrings.xml><?xml version="1.0" encoding="utf-8"?>
<sst xmlns="http://schemas.openxmlformats.org/spreadsheetml/2006/main" count="308" uniqueCount="95">
  <si>
    <t>tipo riga</t>
  </si>
  <si>
    <t>ID</t>
  </si>
  <si>
    <t>Milestone</t>
  </si>
  <si>
    <t>Release</t>
  </si>
  <si>
    <t>Process</t>
  </si>
  <si>
    <t>Story</t>
  </si>
  <si>
    <t>Task</t>
  </si>
  <si>
    <t>Effort Totale (gg)</t>
  </si>
  <si>
    <t>Completamento</t>
  </si>
  <si>
    <t>Owner</t>
  </si>
  <si>
    <t>Risorsa</t>
  </si>
  <si>
    <t>-</t>
  </si>
  <si>
    <t>ATE</t>
  </si>
  <si>
    <t>Actual</t>
  </si>
  <si>
    <t>Start</t>
  </si>
  <si>
    <t>Finish</t>
  </si>
  <si>
    <t>Actual Start</t>
  </si>
  <si>
    <t>Actual Finish</t>
  </si>
  <si>
    <t>Duration</t>
  </si>
  <si>
    <t>Predecessors</t>
  </si>
  <si>
    <t>id univoco</t>
  </si>
  <si>
    <t>effort totale stimato</t>
  </si>
  <si>
    <t>avanzamento %</t>
  </si>
  <si>
    <t>Può essere TXT Novigo, un fornitore interno, il cliente…)</t>
  </si>
  <si>
    <t>data inizio da baseline inizale, non cambia mai</t>
  </si>
  <si>
    <t>data fine da baseline inizale, non cambia mai</t>
  </si>
  <si>
    <t>data inizio aggiornata a seguito di eventuali ripianificazioni (può variare nel tempo)</t>
  </si>
  <si>
    <t>data fine aggiornata a seguito di eventuali ripianificazioni (può variare nel tempo)</t>
  </si>
  <si>
    <t>Processo coerente con Jira Structure</t>
  </si>
  <si>
    <t>Story coerente con Jira Structure</t>
  </si>
  <si>
    <t xml:space="preserve">Task (se presente) coerente con Jira Structure </t>
  </si>
  <si>
    <t>Risorsa assegnataria</t>
  </si>
  <si>
    <t>Identifica la fase in cui si colloca la'ttività, in coerenza con quanto previsto nell'analisi di avanzamento del file di monitoraggio. Può quindi essere:
REQ - raccolta requisiti
AFU - analisi funzionale
VAL - validazione analisi
ATE - analisi tecnica
ESE - esecuzione
TEST - test interno
UAT - test cliente
RIL - rilascio</t>
  </si>
  <si>
    <r>
      <t xml:space="preserve">Durata in giorni tra data inizio e fine actual </t>
    </r>
    <r>
      <rPr>
        <b/>
        <sz val="9"/>
        <color theme="1"/>
        <rFont val="Aptos Narrow"/>
        <family val="2"/>
      </rPr>
      <t>(colonna calcolata)</t>
    </r>
  </si>
  <si>
    <r>
      <t xml:space="preserve">Giorni erogati rispetto alla % avanzamanto (% avanzamento * effort totale) </t>
    </r>
    <r>
      <rPr>
        <b/>
        <sz val="9"/>
        <color theme="1"/>
        <rFont val="Aptos Narrow"/>
        <family val="2"/>
        <scheme val="minor"/>
      </rPr>
      <t>(colonna calcolata)</t>
    </r>
  </si>
  <si>
    <t>ESE</t>
  </si>
  <si>
    <t>Sum of Avanzamento</t>
  </si>
  <si>
    <t>(vuoto)</t>
  </si>
  <si>
    <t>Analisi funzionale e tecnica</t>
  </si>
  <si>
    <t>Analisi funzionale</t>
  </si>
  <si>
    <t>Analisi tecnica</t>
  </si>
  <si>
    <t>Set up</t>
  </si>
  <si>
    <t>Data import</t>
  </si>
  <si>
    <t>Configurator</t>
  </si>
  <si>
    <t>Data management</t>
  </si>
  <si>
    <t>Monitor</t>
  </si>
  <si>
    <t>Data output</t>
  </si>
  <si>
    <t>Forecast</t>
  </si>
  <si>
    <t>UAT</t>
  </si>
  <si>
    <t>Project Management</t>
  </si>
  <si>
    <t>DevOps</t>
  </si>
  <si>
    <t>UI/UX</t>
  </si>
  <si>
    <t>Sviluppo e configurazione Kiron CDG e base dati</t>
  </si>
  <si>
    <t>Sviluppo connettori automatici per acquisizione dati da Campus</t>
  </si>
  <si>
    <t>Sviluppo connettori automatici per acquisizione dati da Infinity Zucchetti</t>
  </si>
  <si>
    <t>Sviluppo sezione impostazione regole di normalizzazione e standard</t>
  </si>
  <si>
    <t>Motore di calcolo per applicazione regole normalizzazione e standard</t>
  </si>
  <si>
    <t>Motore di calcolo per ribaltamenti sulle dimensioni gerarchiche</t>
  </si>
  <si>
    <t>Sviluppo interfaccia web per monitoraggio esecuzione processi</t>
  </si>
  <si>
    <t>Sviluppo interfaccia web per monitoraggio risultati elaborati</t>
  </si>
  <si>
    <t xml:space="preserve">Disegno e realizzazione base dati su DB di frontiera </t>
  </si>
  <si>
    <t xml:space="preserve">Sviluppo sezione configurazione delle regole/parametri per il calcolo del forecast </t>
  </si>
  <si>
    <t>Motore di calcolo per applicazione regole e parametri forecast</t>
  </si>
  <si>
    <t>TXT Novigo</t>
  </si>
  <si>
    <t>AFU</t>
  </si>
  <si>
    <t>TEST</t>
  </si>
  <si>
    <t>Eventuali predecessori (id step da cui dipende)</t>
  </si>
  <si>
    <t>VAL</t>
  </si>
  <si>
    <t>Validazione AFU</t>
  </si>
  <si>
    <t>Test interno</t>
  </si>
  <si>
    <t>RIL</t>
  </si>
  <si>
    <t>Rilascio processo Actual</t>
  </si>
  <si>
    <t>Validazione processo Actual</t>
  </si>
  <si>
    <t>Kiron</t>
  </si>
  <si>
    <t>Rilascio processo Forecast</t>
  </si>
  <si>
    <t>Validazione processo Forecast</t>
  </si>
  <si>
    <t>distinguere rilascio e deploy?</t>
  </si>
  <si>
    <t>in quali step è funzionale ux/ui?</t>
  </si>
  <si>
    <t>gestione uat separata?</t>
  </si>
  <si>
    <t>Sviluppo e configurazione nuova sezione Kiron CDG su Campus 2.0</t>
  </si>
  <si>
    <t>Set up e analisi</t>
  </si>
  <si>
    <t>Attività pregresse</t>
  </si>
  <si>
    <t>Web App</t>
  </si>
  <si>
    <t>Disegno e realizzione base dati</t>
  </si>
  <si>
    <t>Sviluppo connettori automatici per acquisizione dati: 
- da Campus (Ricavi/Payin)</t>
  </si>
  <si>
    <t>Sviluppo connettori automatici per acquisizione dati: 
- da Infinity Zucchetti (Costi Co.Ge.)</t>
  </si>
  <si>
    <t>Sviluppo sezione per impostazione regole di: 
- normalizzazione dei dati (es. mapping prodotti tra diversi sistemi)
- applicazione di standard/proxy mensili in assenza di dati consuntivi</t>
  </si>
  <si>
    <t>Motore di calcolo per: 
- applicazione regole di normalizzazione e applicazione standard</t>
  </si>
  <si>
    <t>Motore di calcolo per: 
- distribuzione dei costi di struttura e comuni sulle dimensioni gerarchiche (Area, Prodotto, Istituto)</t>
  </si>
  <si>
    <t>Realizzazione interfaccia web per monitoraggio esecuzione processi</t>
  </si>
  <si>
    <t>Realizzazione interfaccia web per monitoraggio risultati elaborazione con possibilità di modifica manuale dei dati generati</t>
  </si>
  <si>
    <t>Disegno e realizzione base dati su DB di frontiera per integrazione/pubblicazione dati verso Oracle BI del gruppo Tecnocasa</t>
  </si>
  <si>
    <t xml:space="preserve">Aggiunta alla sezione di configurazione delle regole/parametri per il calcolo del forecast 
</t>
  </si>
  <si>
    <t>Aggiunta al motore di calcolo dei processi per applicazione regole e parametri forecast</t>
  </si>
  <si>
    <t xml:space="preserve">Aggiunta al DB di frontiera delle tabelle relative ai calcoli del forecast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</si>
</sst>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/m/yyyy"/>
    <numFmt numFmtId="166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9" fontId="3" fillId="0" borderId="0" xfId="1" applyNumberFormat="1" applyFont="1" applyAlignment="1">
      <alignment vertical="center"/>
    </xf>
    <xf numFmtId="14" fontId="3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9" fontId="3" fillId="0" borderId="0" xfId="1" applyNumberFormat="1" applyFont="1" applyAlignment="1">
      <alignment vertical="center" wrapText="1"/>
    </xf>
    <xf numFmtId="164" fontId="3" fillId="0" borderId="0" xfId="1" applyNumberFormat="1" applyFont="1" applyAlignment="1">
      <alignment vertical="center" wrapText="1"/>
    </xf>
    <xf numFmtId="2" fontId="3" fillId="0" borderId="0" xfId="1" applyNumberFormat="1" applyFont="1" applyAlignment="1">
      <alignment vertical="center" wrapText="1"/>
    </xf>
    <xf numFmtId="14" fontId="3" fillId="0" borderId="0" xfId="1" applyNumberFormat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2" fillId="2" borderId="0" xfId="1" applyFont="1" applyFill="1" applyAlignment="1">
      <alignment vertical="center"/>
    </xf>
    <xf numFmtId="2" fontId="3" fillId="2" borderId="0" xfId="1" applyNumberFormat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0" fillId="0" borderId="0" xfId="0" pivotButton="1"/>
    <xf numFmtId="9" fontId="0" fillId="0" borderId="0" xfId="0" applyNumberFormat="1"/>
    <xf numFmtId="0" fontId="0" fillId="3" borderId="0" xfId="0" applyFill="1" applyAlignment="1">
      <alignment vertical="center"/>
    </xf>
    <xf numFmtId="0" fontId="3" fillId="3" borderId="0" xfId="1" applyFont="1" applyFill="1" applyAlignment="1">
      <alignment vertical="center"/>
    </xf>
    <xf numFmtId="166" fontId="3" fillId="3" borderId="0" xfId="3" applyNumberFormat="1" applyFont="1" applyFill="1" applyAlignment="1">
      <alignment vertical="center"/>
    </xf>
  </cellXfs>
  <cellStyles count="4">
    <cellStyle name="Migliaia" xfId="3" builtinId="3"/>
    <cellStyle name="Normal 2 2" xfId="1" xr:uid="{84CADDDA-9F4E-4F2A-8FE1-23347EAC5A82}"/>
    <cellStyle name="Normale" xfId="0" builtinId="0"/>
    <cellStyle name="Percent 2" xfId="2" xr:uid="{4FD169BB-45DE-43A2-B84E-16E3F76FEB4A}"/>
  </cellStyles>
  <dxfs count="1">
    <dxf>
      <numFmt numFmtId="13" formatCode="0%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aola_saiani_txtgroup_com/Documents/Documents/Solution/Macro%20Piano.xlsx" TargetMode="External"/><Relationship Id="rId2" Type="http://schemas.openxmlformats.org/officeDocument/2006/relationships/externalLinkPath" Target="https://txtgroup-my.sharepoint.com/personal/paola_saiani_txtgroup_com/Documents/Documents/Solution/Macro%20Piano.xlsx" TargetMode="External"/><Relationship Id="rId1" Type="http://schemas.openxmlformats.org/officeDocument/2006/relationships/externalLinkPath" Target="/personal/paola_saiani_txtgroup_com/Documents/Documents/Solution/Macro%20Pian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xtgroup.sharepoint.com/sites/Allitude-RFPrifacimentoportali/Documenti%20condivisi/General/Progetto/13_Project%20Management/Piano%20di%20lavoro/Copy%20of%20Portalpoint%20-%20Piano%20di%20lavoro_v1.xlsm" TargetMode="External"/><Relationship Id="rId1" Type="http://schemas.openxmlformats.org/officeDocument/2006/relationships/externalLinkPath" Target="Copy%20of%20Portalpoint%20-%20Piano%20di%20lavoro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Project schedule (2)"/>
      <sheetName val="Project schedule"/>
      <sheetName val="Sheet3"/>
      <sheetName val="GANTT"/>
      <sheetName val="Project schedule (3)"/>
      <sheetName val="Sheet6"/>
    </sheetNames>
    <sheetDataSet>
      <sheetData sheetId="0" refreshError="1"/>
      <sheetData sheetId="1" refreshError="1"/>
      <sheetData sheetId="2"/>
      <sheetData sheetId="3">
        <row r="1">
          <cell r="Q1">
            <v>46097</v>
          </cell>
        </row>
        <row r="2">
          <cell r="Q2">
            <v>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ttagli"/>
      <sheetName val="Milestones pivot"/>
      <sheetName val="PianificazioneProgetto"/>
      <sheetName val="Monitoring_KPI_SLA_old"/>
      <sheetName val="Monitoring_Compatto_old"/>
      <sheetName val="Dettagli_old"/>
      <sheetName val="Studio Fattibilità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ena Benizzi" refreshedDate="46195.686180555553" createdVersion="8" refreshedVersion="8" minRefreshableVersion="3" recordCount="231" xr:uid="{DA1EFFB7-086E-4D69-8FF7-CA2724BEA00E}">
  <cacheSource type="worksheet">
    <worksheetSource ref="A1:R1048576" sheet="Dettagli"/>
  </cacheSource>
  <cacheFields count="19">
    <cacheField name="tipo riga" numFmtId="0">
      <sharedItems containsBlank="1" count="9" longText="1">
        <s v="Identifica la fase in cui si colloca la'ttività, in coerenza con quanto previsto nell'analisi di avanzamento del file di monitoraggio. Può quindi essere:_x000a_REQ - raccolta requisiti_x000a_AFU - analisi funzionale_x000a_VAL - validazione analisi_x000a_ATE - analisi tecnica_x000a_ESE - esecuzione_x000a_TEST - test interno_x000a_UAT - test cliente_x000a_RIL - rilascio"/>
        <s v="AFU"/>
        <s v="VAL"/>
        <s v="ATE"/>
        <s v="ESE"/>
        <s v="TEST"/>
        <s v="RIL"/>
        <s v="UAT"/>
        <m/>
      </sharedItems>
    </cacheField>
    <cacheField name="ID" numFmtId="0">
      <sharedItems containsBlank="1"/>
    </cacheField>
    <cacheField name="Milestone" numFmtId="0">
      <sharedItems containsNonDate="0" containsString="0" containsBlank="1"/>
    </cacheField>
    <cacheField name="Release" numFmtId="0">
      <sharedItems containsBlank="1"/>
    </cacheField>
    <cacheField name="Process" numFmtId="0">
      <sharedItems containsBlank="1" count="8">
        <s v="Processo coerente con Jira Structure"/>
        <s v="Actual"/>
        <s v="Forecast"/>
        <s v="UAT"/>
        <s v="Project Management"/>
        <s v="UI/UX"/>
        <m/>
        <s v="SIO Documentale" u="1"/>
      </sharedItems>
    </cacheField>
    <cacheField name="Story" numFmtId="0">
      <sharedItems containsBlank="1" count="13">
        <s v="Story coerente con Jira Structure"/>
        <s v="Analisi funzionale e tecnica"/>
        <s v="Set up"/>
        <s v="Data import"/>
        <s v="Configurator"/>
        <s v="Data management"/>
        <s v="Monitor"/>
        <s v="Data output"/>
        <s v="UAT"/>
        <s v="Project Management"/>
        <s v="UI/UX"/>
        <m/>
        <s v="Configurazione tipi scheda" u="1"/>
      </sharedItems>
    </cacheField>
    <cacheField name="Task" numFmtId="0">
      <sharedItems containsBlank="1" count="32">
        <s v="Task (se presente) coerente con Jira Structure "/>
        <s v="Analisi funzionale"/>
        <s v="Validazione AFU"/>
        <s v="Analisi tecnica"/>
        <s v="Sviluppo e configurazione Kiron CDG e base dati"/>
        <s v="DevOps"/>
        <s v="Sviluppo connettori automatici per acquisizione dati da Campus"/>
        <s v="Sviluppo connettori automatici per acquisizione dati da Infinity Zucchetti"/>
        <s v="Test interno"/>
        <s v="Sviluppo sezione impostazione regole di normalizzazione e standard"/>
        <s v="Motore di calcolo per applicazione regole normalizzazione e standard"/>
        <s v="Motore di calcolo per ribaltamenti sulle dimensioni gerarchiche"/>
        <s v="Sviluppo interfaccia web per monitoraggio esecuzione processi"/>
        <s v="Sviluppo interfaccia web per monitoraggio risultati elaborati"/>
        <s v="Disegno e realizzazione base dati su DB di frontiera "/>
        <s v="Rilascio processo Actual"/>
        <s v="Validazione processo Actual"/>
        <s v="Sviluppo sezione configurazione delle regole/parametri per il calcolo del forecast "/>
        <s v="Motore di calcolo per applicazione regole e parametri forecast"/>
        <s v="Rilascio processo Forecast"/>
        <s v="Validazione processo Forecast"/>
        <s v="UAT"/>
        <s v="Project Management"/>
        <s v="UI/UX"/>
        <m/>
        <s v="distinguere rilascio e deploy?"/>
        <s v="in quali step è funzionale ux/ui?"/>
        <s v="gestione uat separata?"/>
        <s v="Scheletro modulo documentale" u="1"/>
        <s v="Pagina Ricerca" u="1"/>
        <s v="Tab Flusso" u="1"/>
        <s v="Tab Struttura" u="1"/>
      </sharedItems>
    </cacheField>
    <cacheField name="Effort Totale (gg)" numFmtId="0">
      <sharedItems containsBlank="1" containsMixedTypes="1" containsNumber="1" minValue="0" maxValue="21"/>
    </cacheField>
    <cacheField name="Completamento" numFmtId="0">
      <sharedItems containsBlank="1" containsMixedTypes="1" containsNumber="1" containsInteger="1" minValue="0" maxValue="0"/>
    </cacheField>
    <cacheField name="Owner" numFmtId="0">
      <sharedItems containsBlank="1"/>
    </cacheField>
    <cacheField name="Risorsa" numFmtId="0">
      <sharedItems containsBlank="1"/>
    </cacheField>
    <cacheField name="Start" numFmtId="0">
      <sharedItems containsBlank="1"/>
    </cacheField>
    <cacheField name="Finish" numFmtId="0">
      <sharedItems containsBlank="1"/>
    </cacheField>
    <cacheField name="Actual Start" numFmtId="0">
      <sharedItems containsBlank="1"/>
    </cacheField>
    <cacheField name="Actual Finish" numFmtId="0">
      <sharedItems containsBlank="1"/>
    </cacheField>
    <cacheField name="Duration" numFmtId="0">
      <sharedItems containsBlank="1" containsMixedTypes="1" containsNumber="1" containsInteger="1" minValue="0" maxValue="0"/>
    </cacheField>
    <cacheField name="Predecessors" numFmtId="0">
      <sharedItems containsBlank="1"/>
    </cacheField>
    <cacheField name="Actual" numFmtId="0">
      <sharedItems containsBlank="1" containsMixedTypes="1" containsNumber="1" containsInteger="1" minValue="0" maxValue="0"/>
    </cacheField>
    <cacheField name="Avanzamento" numFmtId="0" formula=" IF('Effort Totale (gg)'&gt;0,Actual/'Effort Totale (gg)'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x v="0"/>
    <s v="id univoco"/>
    <m/>
    <s v="-"/>
    <x v="0"/>
    <x v="0"/>
    <x v="0"/>
    <s v="effort totale stimato"/>
    <s v="avanzamento %"/>
    <s v="Può essere TXT Novigo, un fornitore interno, il cliente…)"/>
    <s v="Risorsa assegnataria"/>
    <s v="data inizio da baseline inizale, non cambia mai"/>
    <s v="data fine da baseline inizale, non cambia mai"/>
    <s v="data inizio aggiornata a seguito di eventuali ripianificazioni (può variare nel tempo)"/>
    <s v="data fine aggiornata a seguito di eventuali ripianificazioni (può variare nel tempo)"/>
    <s v="Durata in giorni tra data inizio e fine actual (colonna calcolata)"/>
    <s v="Eventuali predecessori (id step da cui dipende)"/>
    <s v="Giorni erogati rispetto alla % avanzamanto (% avanzamento * effort totale) (colonna calcolata)"/>
  </r>
  <r>
    <x v="1"/>
    <m/>
    <m/>
    <m/>
    <x v="1"/>
    <x v="1"/>
    <x v="1"/>
    <n v="2"/>
    <m/>
    <s v="TXT Novigo"/>
    <m/>
    <m/>
    <m/>
    <m/>
    <m/>
    <n v="0"/>
    <m/>
    <n v="0"/>
  </r>
  <r>
    <x v="2"/>
    <m/>
    <m/>
    <m/>
    <x v="1"/>
    <x v="1"/>
    <x v="2"/>
    <n v="0"/>
    <n v="0"/>
    <s v="Kiron"/>
    <m/>
    <m/>
    <m/>
    <m/>
    <m/>
    <m/>
    <m/>
    <m/>
  </r>
  <r>
    <x v="3"/>
    <m/>
    <m/>
    <m/>
    <x v="1"/>
    <x v="1"/>
    <x v="3"/>
    <n v="3"/>
    <n v="0"/>
    <s v="TXT Novigo"/>
    <m/>
    <m/>
    <m/>
    <m/>
    <m/>
    <n v="0"/>
    <m/>
    <n v="0"/>
  </r>
  <r>
    <x v="4"/>
    <m/>
    <m/>
    <m/>
    <x v="1"/>
    <x v="2"/>
    <x v="4"/>
    <n v="8"/>
    <n v="0"/>
    <s v="TXT Novigo"/>
    <m/>
    <m/>
    <m/>
    <m/>
    <m/>
    <n v="0"/>
    <m/>
    <n v="0"/>
  </r>
  <r>
    <x v="4"/>
    <m/>
    <m/>
    <m/>
    <x v="1"/>
    <x v="2"/>
    <x v="5"/>
    <n v="5"/>
    <n v="0"/>
    <s v="TXT Novigo"/>
    <m/>
    <m/>
    <m/>
    <m/>
    <m/>
    <m/>
    <m/>
    <m/>
  </r>
  <r>
    <x v="4"/>
    <m/>
    <m/>
    <m/>
    <x v="1"/>
    <x v="3"/>
    <x v="6"/>
    <n v="5"/>
    <n v="0"/>
    <s v="TXT Novigo"/>
    <m/>
    <m/>
    <m/>
    <m/>
    <m/>
    <n v="0"/>
    <m/>
    <n v="0"/>
  </r>
  <r>
    <x v="4"/>
    <m/>
    <m/>
    <m/>
    <x v="1"/>
    <x v="3"/>
    <x v="7"/>
    <n v="13"/>
    <n v="0"/>
    <s v="TXT Novigo"/>
    <m/>
    <m/>
    <m/>
    <m/>
    <m/>
    <n v="0"/>
    <m/>
    <n v="0"/>
  </r>
  <r>
    <x v="5"/>
    <m/>
    <m/>
    <m/>
    <x v="1"/>
    <x v="3"/>
    <x v="8"/>
    <n v="0.75"/>
    <n v="0"/>
    <s v="TXT Novigo"/>
    <m/>
    <m/>
    <m/>
    <m/>
    <m/>
    <m/>
    <m/>
    <n v="0"/>
  </r>
  <r>
    <x v="4"/>
    <m/>
    <m/>
    <m/>
    <x v="1"/>
    <x v="4"/>
    <x v="9"/>
    <n v="13"/>
    <n v="0"/>
    <s v="TXT Novigo"/>
    <m/>
    <m/>
    <m/>
    <m/>
    <m/>
    <n v="0"/>
    <m/>
    <n v="0"/>
  </r>
  <r>
    <x v="5"/>
    <m/>
    <m/>
    <m/>
    <x v="1"/>
    <x v="4"/>
    <x v="8"/>
    <n v="0.75"/>
    <n v="0"/>
    <s v="TXT Novigo"/>
    <m/>
    <m/>
    <m/>
    <m/>
    <m/>
    <m/>
    <m/>
    <n v="0"/>
  </r>
  <r>
    <x v="4"/>
    <m/>
    <m/>
    <m/>
    <x v="1"/>
    <x v="5"/>
    <x v="10"/>
    <n v="21"/>
    <n v="0"/>
    <s v="TXT Novigo"/>
    <m/>
    <m/>
    <m/>
    <m/>
    <m/>
    <n v="0"/>
    <m/>
    <n v="0"/>
  </r>
  <r>
    <x v="4"/>
    <m/>
    <m/>
    <m/>
    <x v="1"/>
    <x v="5"/>
    <x v="11"/>
    <n v="13"/>
    <n v="0"/>
    <s v="TXT Novigo"/>
    <m/>
    <m/>
    <m/>
    <m/>
    <m/>
    <n v="0"/>
    <m/>
    <n v="0"/>
  </r>
  <r>
    <x v="5"/>
    <m/>
    <m/>
    <m/>
    <x v="1"/>
    <x v="5"/>
    <x v="8"/>
    <n v="0.75"/>
    <n v="0"/>
    <s v="TXT Novigo"/>
    <m/>
    <m/>
    <m/>
    <m/>
    <m/>
    <m/>
    <m/>
    <n v="0"/>
  </r>
  <r>
    <x v="4"/>
    <m/>
    <m/>
    <m/>
    <x v="1"/>
    <x v="6"/>
    <x v="12"/>
    <n v="5"/>
    <n v="0"/>
    <s v="TXT Novigo"/>
    <m/>
    <m/>
    <m/>
    <m/>
    <m/>
    <n v="0"/>
    <m/>
    <n v="0"/>
  </r>
  <r>
    <x v="4"/>
    <m/>
    <m/>
    <m/>
    <x v="1"/>
    <x v="6"/>
    <x v="13"/>
    <n v="13"/>
    <n v="0"/>
    <s v="TXT Novigo"/>
    <m/>
    <m/>
    <m/>
    <m/>
    <m/>
    <n v="0"/>
    <m/>
    <n v="0"/>
  </r>
  <r>
    <x v="5"/>
    <m/>
    <m/>
    <m/>
    <x v="1"/>
    <x v="6"/>
    <x v="8"/>
    <n v="0.75"/>
    <n v="0"/>
    <s v="TXT Novigo"/>
    <m/>
    <m/>
    <m/>
    <m/>
    <m/>
    <m/>
    <m/>
    <n v="0"/>
  </r>
  <r>
    <x v="4"/>
    <m/>
    <m/>
    <m/>
    <x v="1"/>
    <x v="7"/>
    <x v="14"/>
    <n v="2"/>
    <n v="0"/>
    <s v="TXT Novigo"/>
    <m/>
    <m/>
    <m/>
    <m/>
    <m/>
    <n v="0"/>
    <m/>
    <n v="0"/>
  </r>
  <r>
    <x v="5"/>
    <m/>
    <m/>
    <m/>
    <x v="1"/>
    <x v="7"/>
    <x v="8"/>
    <n v="0.75"/>
    <n v="0"/>
    <s v="TXT Novigo"/>
    <m/>
    <m/>
    <m/>
    <m/>
    <m/>
    <m/>
    <m/>
    <n v="0"/>
  </r>
  <r>
    <x v="6"/>
    <m/>
    <m/>
    <m/>
    <x v="1"/>
    <x v="7"/>
    <x v="15"/>
    <n v="1"/>
    <n v="0"/>
    <s v="TXT Novigo"/>
    <m/>
    <m/>
    <m/>
    <m/>
    <m/>
    <m/>
    <m/>
    <n v="0"/>
  </r>
  <r>
    <x v="2"/>
    <m/>
    <m/>
    <m/>
    <x v="1"/>
    <x v="7"/>
    <x v="16"/>
    <n v="0"/>
    <n v="0"/>
    <s v="Kiron"/>
    <m/>
    <m/>
    <m/>
    <m/>
    <m/>
    <m/>
    <m/>
    <m/>
  </r>
  <r>
    <x v="4"/>
    <m/>
    <m/>
    <m/>
    <x v="2"/>
    <x v="4"/>
    <x v="17"/>
    <n v="5"/>
    <n v="0"/>
    <s v="TXT Novigo"/>
    <m/>
    <m/>
    <m/>
    <m/>
    <m/>
    <n v="0"/>
    <m/>
    <n v="0"/>
  </r>
  <r>
    <x v="5"/>
    <m/>
    <m/>
    <m/>
    <x v="2"/>
    <x v="4"/>
    <x v="8"/>
    <n v="0.75"/>
    <n v="0"/>
    <s v="TXT Novigo"/>
    <m/>
    <m/>
    <m/>
    <m/>
    <m/>
    <m/>
    <m/>
    <m/>
  </r>
  <r>
    <x v="4"/>
    <m/>
    <m/>
    <m/>
    <x v="2"/>
    <x v="5"/>
    <x v="18"/>
    <n v="13"/>
    <n v="0"/>
    <s v="TXT Novigo"/>
    <m/>
    <m/>
    <m/>
    <m/>
    <m/>
    <n v="0"/>
    <m/>
    <n v="0"/>
  </r>
  <r>
    <x v="5"/>
    <m/>
    <m/>
    <m/>
    <x v="2"/>
    <x v="5"/>
    <x v="8"/>
    <n v="0.75"/>
    <n v="0"/>
    <s v="TXT Novigo"/>
    <m/>
    <m/>
    <m/>
    <m/>
    <m/>
    <m/>
    <m/>
    <m/>
  </r>
  <r>
    <x v="4"/>
    <m/>
    <m/>
    <m/>
    <x v="2"/>
    <x v="7"/>
    <x v="14"/>
    <n v="1"/>
    <n v="0"/>
    <s v="TXT Novigo"/>
    <m/>
    <m/>
    <m/>
    <m/>
    <m/>
    <n v="0"/>
    <m/>
    <n v="0"/>
  </r>
  <r>
    <x v="5"/>
    <m/>
    <m/>
    <m/>
    <x v="2"/>
    <x v="7"/>
    <x v="8"/>
    <n v="0.75"/>
    <n v="0"/>
    <s v="TXT Novigo"/>
    <m/>
    <m/>
    <m/>
    <m/>
    <m/>
    <m/>
    <m/>
    <m/>
  </r>
  <r>
    <x v="6"/>
    <m/>
    <m/>
    <m/>
    <x v="2"/>
    <x v="7"/>
    <x v="19"/>
    <n v="1"/>
    <n v="0"/>
    <s v="TXT Novigo"/>
    <m/>
    <m/>
    <m/>
    <m/>
    <m/>
    <m/>
    <m/>
    <m/>
  </r>
  <r>
    <x v="2"/>
    <m/>
    <m/>
    <m/>
    <x v="2"/>
    <x v="7"/>
    <x v="20"/>
    <n v="0"/>
    <n v="0"/>
    <s v="Kiron"/>
    <m/>
    <m/>
    <m/>
    <m/>
    <m/>
    <m/>
    <m/>
    <m/>
  </r>
  <r>
    <x v="7"/>
    <m/>
    <m/>
    <m/>
    <x v="3"/>
    <x v="8"/>
    <x v="21"/>
    <n v="5"/>
    <n v="0"/>
    <s v="TXT Novigo"/>
    <m/>
    <m/>
    <m/>
    <m/>
    <m/>
    <n v="0"/>
    <m/>
    <n v="0"/>
  </r>
  <r>
    <x v="8"/>
    <m/>
    <m/>
    <m/>
    <x v="4"/>
    <x v="9"/>
    <x v="22"/>
    <n v="13"/>
    <n v="0"/>
    <s v="TXT Novigo"/>
    <m/>
    <m/>
    <m/>
    <m/>
    <m/>
    <n v="0"/>
    <m/>
    <n v="0"/>
  </r>
  <r>
    <x v="4"/>
    <m/>
    <m/>
    <m/>
    <x v="5"/>
    <x v="10"/>
    <x v="23"/>
    <n v="5"/>
    <n v="0"/>
    <s v="TXT Novigo"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5"/>
    <m/>
    <m/>
    <m/>
    <m/>
    <m/>
    <m/>
    <m/>
    <m/>
    <n v="0"/>
    <m/>
    <n v="0"/>
  </r>
  <r>
    <x v="8"/>
    <m/>
    <m/>
    <m/>
    <x v="6"/>
    <x v="11"/>
    <x v="26"/>
    <m/>
    <m/>
    <m/>
    <m/>
    <m/>
    <m/>
    <m/>
    <m/>
    <n v="0"/>
    <m/>
    <n v="0"/>
  </r>
  <r>
    <x v="8"/>
    <m/>
    <m/>
    <m/>
    <x v="6"/>
    <x v="11"/>
    <x v="27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n v="0"/>
    <m/>
    <n v="0"/>
  </r>
  <r>
    <x v="8"/>
    <m/>
    <m/>
    <m/>
    <x v="6"/>
    <x v="11"/>
    <x v="2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372A1D-645A-478F-A781-511D28A65C3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1:K33" firstHeaderRow="1" firstDataRow="2" firstDataCol="3"/>
  <pivotFields count="19">
    <pivotField axis="axisCol" compact="0" outline="0" showAll="0" defaultSubtotal="0">
      <items count="9">
        <item x="3"/>
        <item x="4"/>
        <item x="0"/>
        <item x="8"/>
        <item x="1"/>
        <item x="2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h="1" x="0"/>
        <item m="1" x="7"/>
        <item h="1" x="6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m="1" x="12"/>
        <item x="0"/>
        <item x="11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m="1" x="29"/>
        <item m="1" x="28"/>
        <item m="1" x="30"/>
        <item m="1" x="31"/>
        <item x="0"/>
        <item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4"/>
    <field x="5"/>
    <field x="6"/>
  </rowFields>
  <rowItems count="31">
    <i>
      <x v="3"/>
      <x v="3"/>
      <x v="6"/>
    </i>
    <i r="2">
      <x v="7"/>
    </i>
    <i r="2">
      <x v="8"/>
    </i>
    <i r="1">
      <x v="4"/>
      <x v="9"/>
    </i>
    <i r="2">
      <x v="10"/>
    </i>
    <i r="1">
      <x v="5"/>
      <x v="11"/>
    </i>
    <i r="2">
      <x v="12"/>
    </i>
    <i r="2">
      <x v="13"/>
    </i>
    <i r="1">
      <x v="6"/>
      <x v="13"/>
    </i>
    <i r="2">
      <x v="14"/>
    </i>
    <i r="1">
      <x v="7"/>
      <x v="13"/>
    </i>
    <i r="2">
      <x v="15"/>
    </i>
    <i r="2">
      <x v="16"/>
    </i>
    <i r="1">
      <x v="8"/>
      <x v="13"/>
    </i>
    <i r="2">
      <x v="17"/>
    </i>
    <i r="2">
      <x v="18"/>
    </i>
    <i r="1">
      <x v="9"/>
      <x v="13"/>
    </i>
    <i r="2">
      <x v="19"/>
    </i>
    <i r="2">
      <x v="20"/>
    </i>
    <i r="2">
      <x v="21"/>
    </i>
    <i>
      <x v="4"/>
      <x v="6"/>
      <x v="13"/>
    </i>
    <i r="2">
      <x v="22"/>
    </i>
    <i r="1">
      <x v="7"/>
      <x v="13"/>
    </i>
    <i r="2">
      <x v="23"/>
    </i>
    <i r="1">
      <x v="9"/>
      <x v="13"/>
    </i>
    <i r="2">
      <x v="19"/>
    </i>
    <i r="2">
      <x v="24"/>
    </i>
    <i r="2">
      <x v="25"/>
    </i>
    <i>
      <x v="5"/>
      <x v="10"/>
      <x v="26"/>
    </i>
    <i>
      <x v="6"/>
      <x v="11"/>
      <x v="27"/>
    </i>
    <i>
      <x v="7"/>
      <x v="12"/>
      <x v="28"/>
    </i>
  </rowItems>
  <colFields count="1">
    <field x="0"/>
  </colFields>
  <colItems count="8">
    <i>
      <x/>
    </i>
    <i>
      <x v="1"/>
    </i>
    <i>
      <x v="3"/>
    </i>
    <i>
      <x v="4"/>
    </i>
    <i>
      <x v="5"/>
    </i>
    <i>
      <x v="6"/>
    </i>
    <i>
      <x v="7"/>
    </i>
    <i>
      <x v="8"/>
    </i>
  </colItems>
  <dataFields count="1">
    <dataField name="Sum of Avanzamento" fld="18" baseField="0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4493-62ED-4501-8A59-497F8273C5B7}">
  <sheetPr codeName="Foglio10"/>
  <dimension ref="A1:R233"/>
  <sheetViews>
    <sheetView tabSelected="1" topLeftCell="A3" zoomScale="152" zoomScaleNormal="90" workbookViewId="0">
      <selection activeCell="G13" sqref="G13"/>
    </sheetView>
  </sheetViews>
  <sheetFormatPr defaultColWidth="12.5546875" defaultRowHeight="15" customHeight="1" x14ac:dyDescent="0.3"/>
  <cols>
    <col min="1" max="1" width="17.21875" style="11" customWidth="1"/>
    <col min="2" max="2" width="7.88671875" style="11" bestFit="1" customWidth="1"/>
    <col min="3" max="3" width="18.77734375" style="3" customWidth="1"/>
    <col min="4" max="4" width="6.44140625" style="10" bestFit="1" customWidth="1"/>
    <col min="5" max="5" width="14" style="3" customWidth="1"/>
    <col min="6" max="6" width="10.77734375" style="3" customWidth="1"/>
    <col min="7" max="7" width="58.88671875" style="3" bestFit="1" customWidth="1"/>
    <col min="8" max="8" width="9" style="3" customWidth="1"/>
    <col min="9" max="9" width="10.44140625" style="3" customWidth="1"/>
    <col min="10" max="16" width="12.5546875" style="3"/>
    <col min="17" max="17" width="12.5546875" style="3" customWidth="1"/>
    <col min="18" max="18" width="12.5546875" style="8"/>
    <col min="19" max="19" width="13.44140625" style="3" bestFit="1" customWidth="1"/>
    <col min="20" max="16384" width="12.5546875" style="3"/>
  </cols>
  <sheetData>
    <row r="1" spans="1:18" ht="1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1" t="s">
        <v>16</v>
      </c>
      <c r="O1" s="1" t="s">
        <v>17</v>
      </c>
      <c r="P1" s="17" t="s">
        <v>18</v>
      </c>
      <c r="Q1" s="1" t="s">
        <v>19</v>
      </c>
      <c r="R1" s="17" t="s">
        <v>13</v>
      </c>
    </row>
    <row r="2" spans="1:18" ht="192" x14ac:dyDescent="0.3">
      <c r="A2" s="9" t="s">
        <v>32</v>
      </c>
      <c r="B2" s="4" t="s">
        <v>20</v>
      </c>
      <c r="C2" s="4"/>
      <c r="D2" s="5" t="s">
        <v>11</v>
      </c>
      <c r="E2" s="9" t="s">
        <v>28</v>
      </c>
      <c r="F2" s="9" t="s">
        <v>29</v>
      </c>
      <c r="G2" s="9" t="s">
        <v>30</v>
      </c>
      <c r="H2" s="9" t="s">
        <v>21</v>
      </c>
      <c r="I2" s="12" t="s">
        <v>22</v>
      </c>
      <c r="J2" s="9" t="s">
        <v>23</v>
      </c>
      <c r="K2" s="9" t="s">
        <v>31</v>
      </c>
      <c r="L2" s="13" t="s">
        <v>24</v>
      </c>
      <c r="M2" s="13" t="s">
        <v>25</v>
      </c>
      <c r="N2" s="13" t="s">
        <v>26</v>
      </c>
      <c r="O2" s="13" t="s">
        <v>27</v>
      </c>
      <c r="P2" s="14" t="s">
        <v>33</v>
      </c>
      <c r="Q2" s="15" t="s">
        <v>66</v>
      </c>
      <c r="R2" s="16" t="s">
        <v>34</v>
      </c>
    </row>
    <row r="3" spans="1:18" ht="24" x14ac:dyDescent="0.3">
      <c r="A3" s="11" t="s">
        <v>64</v>
      </c>
      <c r="B3" s="4"/>
      <c r="C3" s="4"/>
      <c r="D3" s="5"/>
      <c r="E3" s="9" t="s">
        <v>81</v>
      </c>
      <c r="F3" s="9" t="s">
        <v>81</v>
      </c>
      <c r="G3" s="9" t="s">
        <v>81</v>
      </c>
      <c r="H3" s="9">
        <v>26</v>
      </c>
      <c r="I3" s="12">
        <v>1</v>
      </c>
      <c r="J3" s="4" t="s">
        <v>63</v>
      </c>
      <c r="K3" s="9"/>
      <c r="L3" s="13"/>
      <c r="M3" s="13"/>
      <c r="N3" s="13"/>
      <c r="O3" s="13"/>
      <c r="P3" s="18">
        <f t="shared" ref="P3" si="0">IF(OR(A3="D",A3="M"),0,MAX(O3-N3,0))</f>
        <v>0</v>
      </c>
      <c r="R3" s="19">
        <f>H3*I3</f>
        <v>26</v>
      </c>
    </row>
    <row r="4" spans="1:18" ht="15" customHeight="1" x14ac:dyDescent="0.3">
      <c r="A4" s="11" t="s">
        <v>64</v>
      </c>
      <c r="E4" s="4" t="s">
        <v>13</v>
      </c>
      <c r="F4" s="4" t="s">
        <v>80</v>
      </c>
      <c r="G4" s="4" t="s">
        <v>39</v>
      </c>
      <c r="H4" s="24">
        <v>3.1911842105263148</v>
      </c>
      <c r="I4" s="22"/>
      <c r="J4" s="4" t="s">
        <v>63</v>
      </c>
      <c r="M4" s="7"/>
      <c r="P4" s="18">
        <f t="shared" ref="P4:P67" si="1">IF(OR(A4="D",A4="M"),0,MAX(O4-N4,0))</f>
        <v>0</v>
      </c>
      <c r="R4" s="19">
        <f>H4*I4</f>
        <v>0</v>
      </c>
    </row>
    <row r="5" spans="1:18" ht="15" customHeight="1" x14ac:dyDescent="0.3">
      <c r="A5" s="11" t="s">
        <v>67</v>
      </c>
      <c r="E5" s="4" t="s">
        <v>13</v>
      </c>
      <c r="F5" s="4" t="s">
        <v>80</v>
      </c>
      <c r="G5" s="4" t="s">
        <v>68</v>
      </c>
      <c r="H5" s="24">
        <v>0</v>
      </c>
      <c r="I5" s="6">
        <v>0</v>
      </c>
      <c r="J5" s="4" t="s">
        <v>73</v>
      </c>
      <c r="M5" s="7"/>
      <c r="P5" s="18"/>
      <c r="R5" s="19"/>
    </row>
    <row r="6" spans="1:18" ht="15" customHeight="1" x14ac:dyDescent="0.3">
      <c r="A6" s="11" t="s">
        <v>12</v>
      </c>
      <c r="E6" s="4" t="s">
        <v>13</v>
      </c>
      <c r="F6" s="4" t="s">
        <v>80</v>
      </c>
      <c r="G6" s="4" t="s">
        <v>40</v>
      </c>
      <c r="H6" s="24">
        <v>3.1911842105263148</v>
      </c>
      <c r="I6" s="6">
        <v>0</v>
      </c>
      <c r="J6" s="4" t="s">
        <v>63</v>
      </c>
      <c r="P6" s="18">
        <f t="shared" si="1"/>
        <v>0</v>
      </c>
      <c r="R6" s="19">
        <f t="shared" ref="R6:R67" si="2">H6*I6</f>
        <v>0</v>
      </c>
    </row>
    <row r="7" spans="1:18" ht="15" customHeight="1" x14ac:dyDescent="0.3">
      <c r="A7" s="11" t="s">
        <v>35</v>
      </c>
      <c r="E7" s="4" t="s">
        <v>13</v>
      </c>
      <c r="F7" s="4" t="s">
        <v>82</v>
      </c>
      <c r="G7" s="4" t="s">
        <v>79</v>
      </c>
      <c r="H7" s="24">
        <v>6.3823684210526315</v>
      </c>
      <c r="I7" s="6">
        <v>0</v>
      </c>
      <c r="J7" s="4" t="s">
        <v>63</v>
      </c>
      <c r="P7" s="18">
        <f t="shared" si="1"/>
        <v>0</v>
      </c>
      <c r="R7" s="19">
        <f t="shared" si="2"/>
        <v>0</v>
      </c>
    </row>
    <row r="8" spans="1:18" ht="15" customHeight="1" x14ac:dyDescent="0.3">
      <c r="A8" s="11" t="s">
        <v>35</v>
      </c>
      <c r="E8" s="4" t="s">
        <v>13</v>
      </c>
      <c r="F8" s="4" t="s">
        <v>82</v>
      </c>
      <c r="G8" s="4" t="s">
        <v>83</v>
      </c>
      <c r="H8" s="24">
        <v>6.3823684210526315</v>
      </c>
      <c r="I8" s="6">
        <v>0</v>
      </c>
      <c r="J8" s="4" t="s">
        <v>63</v>
      </c>
      <c r="P8" s="18">
        <f t="shared" ref="P8:P12" si="3">IF(OR(A8="D",A8="M"),0,MAX(O8-N8,0))</f>
        <v>0</v>
      </c>
      <c r="R8" s="19">
        <f t="shared" ref="R8:R12" si="4">H8*I8</f>
        <v>0</v>
      </c>
    </row>
    <row r="9" spans="1:18" ht="15" customHeight="1" x14ac:dyDescent="0.3">
      <c r="A9" s="11" t="s">
        <v>35</v>
      </c>
      <c r="E9" s="4" t="s">
        <v>13</v>
      </c>
      <c r="F9" s="4" t="s">
        <v>50</v>
      </c>
      <c r="G9" s="4" t="s">
        <v>50</v>
      </c>
      <c r="H9" s="24">
        <v>7.3823684210526315</v>
      </c>
      <c r="I9" s="6">
        <v>0</v>
      </c>
      <c r="J9" s="4" t="s">
        <v>63</v>
      </c>
      <c r="P9" s="18">
        <f t="shared" si="3"/>
        <v>0</v>
      </c>
      <c r="R9" s="19">
        <f t="shared" si="4"/>
        <v>0</v>
      </c>
    </row>
    <row r="10" spans="1:18" ht="15" customHeight="1" x14ac:dyDescent="0.3">
      <c r="A10" s="11" t="s">
        <v>35</v>
      </c>
      <c r="E10" s="4" t="s">
        <v>13</v>
      </c>
      <c r="F10" s="4" t="s">
        <v>42</v>
      </c>
      <c r="G10" s="4" t="s">
        <v>84</v>
      </c>
      <c r="H10" s="24">
        <v>6.3823684210526315</v>
      </c>
      <c r="I10" s="6">
        <v>0</v>
      </c>
      <c r="J10" s="4" t="s">
        <v>63</v>
      </c>
      <c r="P10" s="18">
        <f t="shared" si="3"/>
        <v>0</v>
      </c>
      <c r="R10" s="19">
        <f t="shared" si="4"/>
        <v>0</v>
      </c>
    </row>
    <row r="11" spans="1:18" ht="15" customHeight="1" x14ac:dyDescent="0.3">
      <c r="A11" s="11" t="s">
        <v>35</v>
      </c>
      <c r="E11" s="4" t="s">
        <v>13</v>
      </c>
      <c r="F11" s="4" t="s">
        <v>42</v>
      </c>
      <c r="G11" s="4" t="s">
        <v>85</v>
      </c>
      <c r="H11" s="24">
        <v>16.382368421052632</v>
      </c>
      <c r="I11" s="6">
        <v>0</v>
      </c>
      <c r="J11" s="4" t="s">
        <v>63</v>
      </c>
      <c r="P11" s="18">
        <f t="shared" si="3"/>
        <v>0</v>
      </c>
      <c r="R11" s="19">
        <f t="shared" si="4"/>
        <v>0</v>
      </c>
    </row>
    <row r="12" spans="1:18" ht="15" customHeight="1" x14ac:dyDescent="0.3">
      <c r="A12" s="11" t="s">
        <v>65</v>
      </c>
      <c r="E12" s="4" t="s">
        <v>13</v>
      </c>
      <c r="F12" s="4" t="s">
        <v>42</v>
      </c>
      <c r="G12" s="4" t="s">
        <v>69</v>
      </c>
      <c r="H12" s="24">
        <v>0</v>
      </c>
      <c r="I12" s="6">
        <v>0</v>
      </c>
      <c r="J12" s="4" t="s">
        <v>63</v>
      </c>
      <c r="P12" s="18">
        <f t="shared" si="3"/>
        <v>0</v>
      </c>
      <c r="R12" s="19">
        <f t="shared" si="4"/>
        <v>0</v>
      </c>
    </row>
    <row r="13" spans="1:18" ht="15" customHeight="1" x14ac:dyDescent="0.3">
      <c r="A13" s="11" t="s">
        <v>35</v>
      </c>
      <c r="E13" s="4" t="s">
        <v>13</v>
      </c>
      <c r="F13" s="4" t="s">
        <v>43</v>
      </c>
      <c r="G13" s="4" t="s">
        <v>86</v>
      </c>
      <c r="H13" s="24">
        <v>16.382368421052632</v>
      </c>
      <c r="I13" s="6">
        <v>0</v>
      </c>
      <c r="J13" s="4" t="s">
        <v>63</v>
      </c>
      <c r="P13" s="18">
        <f t="shared" si="1"/>
        <v>0</v>
      </c>
      <c r="R13" s="19">
        <f t="shared" si="2"/>
        <v>0</v>
      </c>
    </row>
    <row r="14" spans="1:18" ht="15" customHeight="1" x14ac:dyDescent="0.3">
      <c r="A14" s="11" t="s">
        <v>65</v>
      </c>
      <c r="E14" s="4" t="s">
        <v>13</v>
      </c>
      <c r="F14" s="4" t="s">
        <v>43</v>
      </c>
      <c r="G14" s="4" t="s">
        <v>69</v>
      </c>
      <c r="H14" s="24">
        <v>0</v>
      </c>
      <c r="I14" s="6">
        <v>0</v>
      </c>
      <c r="J14" s="4" t="s">
        <v>63</v>
      </c>
      <c r="P14" s="18"/>
      <c r="R14" s="19">
        <f t="shared" si="2"/>
        <v>0</v>
      </c>
    </row>
    <row r="15" spans="1:18" ht="15" customHeight="1" x14ac:dyDescent="0.3">
      <c r="A15" s="11" t="s">
        <v>35</v>
      </c>
      <c r="E15" s="4" t="s">
        <v>13</v>
      </c>
      <c r="F15" s="4" t="s">
        <v>44</v>
      </c>
      <c r="G15" s="4" t="s">
        <v>87</v>
      </c>
      <c r="H15" s="24">
        <v>21.382368421052632</v>
      </c>
      <c r="I15" s="6">
        <v>0</v>
      </c>
      <c r="J15" s="4" t="s">
        <v>63</v>
      </c>
      <c r="P15" s="18">
        <f t="shared" si="1"/>
        <v>0</v>
      </c>
      <c r="R15" s="19">
        <f t="shared" si="2"/>
        <v>0</v>
      </c>
    </row>
    <row r="16" spans="1:18" ht="15" customHeight="1" x14ac:dyDescent="0.3">
      <c r="A16" s="11" t="s">
        <v>35</v>
      </c>
      <c r="E16" s="4" t="s">
        <v>13</v>
      </c>
      <c r="F16" s="4" t="s">
        <v>44</v>
      </c>
      <c r="G16" s="4" t="s">
        <v>88</v>
      </c>
      <c r="H16" s="24">
        <v>11.382368421052632</v>
      </c>
      <c r="I16" s="6">
        <v>0</v>
      </c>
      <c r="J16" s="4" t="s">
        <v>63</v>
      </c>
      <c r="P16" s="18">
        <f t="shared" si="1"/>
        <v>0</v>
      </c>
      <c r="R16" s="19">
        <f t="shared" si="2"/>
        <v>0</v>
      </c>
    </row>
    <row r="17" spans="1:18" ht="15" customHeight="1" x14ac:dyDescent="0.3">
      <c r="A17" s="11" t="s">
        <v>65</v>
      </c>
      <c r="E17" s="4" t="s">
        <v>13</v>
      </c>
      <c r="F17" s="4" t="s">
        <v>44</v>
      </c>
      <c r="G17" s="4" t="s">
        <v>69</v>
      </c>
      <c r="H17" s="24">
        <v>0</v>
      </c>
      <c r="I17" s="6">
        <v>0</v>
      </c>
      <c r="J17" s="4" t="s">
        <v>63</v>
      </c>
      <c r="P17" s="18"/>
      <c r="R17" s="19">
        <f t="shared" si="2"/>
        <v>0</v>
      </c>
    </row>
    <row r="18" spans="1:18" ht="15" customHeight="1" x14ac:dyDescent="0.3">
      <c r="A18" s="11" t="s">
        <v>35</v>
      </c>
      <c r="E18" s="4" t="s">
        <v>13</v>
      </c>
      <c r="F18" s="4" t="s">
        <v>82</v>
      </c>
      <c r="G18" s="4" t="s">
        <v>89</v>
      </c>
      <c r="H18" s="24">
        <v>6.3823684210526315</v>
      </c>
      <c r="I18" s="6">
        <v>0</v>
      </c>
      <c r="J18" s="4" t="s">
        <v>63</v>
      </c>
      <c r="P18" s="18">
        <f t="shared" si="1"/>
        <v>0</v>
      </c>
      <c r="R18" s="19">
        <f t="shared" si="2"/>
        <v>0</v>
      </c>
    </row>
    <row r="19" spans="1:18" ht="15" customHeight="1" x14ac:dyDescent="0.3">
      <c r="A19" s="11" t="s">
        <v>35</v>
      </c>
      <c r="E19" s="4" t="s">
        <v>13</v>
      </c>
      <c r="F19" s="4" t="s">
        <v>82</v>
      </c>
      <c r="G19" s="4" t="s">
        <v>90</v>
      </c>
      <c r="H19" s="24">
        <v>16.382368421052632</v>
      </c>
      <c r="I19" s="6">
        <v>0</v>
      </c>
      <c r="J19" s="4" t="s">
        <v>63</v>
      </c>
      <c r="P19" s="18">
        <f t="shared" si="1"/>
        <v>0</v>
      </c>
      <c r="R19" s="19">
        <f t="shared" si="2"/>
        <v>0</v>
      </c>
    </row>
    <row r="20" spans="1:18" ht="15" customHeight="1" x14ac:dyDescent="0.3">
      <c r="A20" s="11" t="s">
        <v>65</v>
      </c>
      <c r="E20" s="4" t="s">
        <v>13</v>
      </c>
      <c r="F20" s="4" t="s">
        <v>82</v>
      </c>
      <c r="G20" s="4" t="s">
        <v>69</v>
      </c>
      <c r="H20" s="24">
        <v>0</v>
      </c>
      <c r="I20" s="6">
        <v>0</v>
      </c>
      <c r="J20" s="4" t="s">
        <v>63</v>
      </c>
      <c r="P20" s="18"/>
      <c r="R20" s="19">
        <f t="shared" si="2"/>
        <v>0</v>
      </c>
    </row>
    <row r="21" spans="1:18" ht="15" customHeight="1" x14ac:dyDescent="0.3">
      <c r="A21" s="11" t="s">
        <v>35</v>
      </c>
      <c r="E21" s="4" t="s">
        <v>13</v>
      </c>
      <c r="F21" s="4" t="s">
        <v>46</v>
      </c>
      <c r="G21" s="4" t="s">
        <v>91</v>
      </c>
      <c r="H21" s="24">
        <v>3.3823684210526315</v>
      </c>
      <c r="I21" s="6">
        <v>0</v>
      </c>
      <c r="J21" s="4" t="s">
        <v>63</v>
      </c>
      <c r="P21" s="18">
        <f t="shared" si="1"/>
        <v>0</v>
      </c>
      <c r="R21" s="19">
        <f t="shared" si="2"/>
        <v>0</v>
      </c>
    </row>
    <row r="22" spans="1:18" ht="15" customHeight="1" x14ac:dyDescent="0.3">
      <c r="A22" s="11" t="s">
        <v>65</v>
      </c>
      <c r="E22" s="4" t="s">
        <v>13</v>
      </c>
      <c r="F22" s="4" t="s">
        <v>46</v>
      </c>
      <c r="G22" s="4" t="s">
        <v>69</v>
      </c>
      <c r="H22" s="24">
        <v>0</v>
      </c>
      <c r="I22" s="6">
        <v>0</v>
      </c>
      <c r="J22" s="4" t="s">
        <v>63</v>
      </c>
      <c r="P22" s="18"/>
      <c r="R22" s="19">
        <f t="shared" si="2"/>
        <v>0</v>
      </c>
    </row>
    <row r="23" spans="1:18" ht="15" customHeight="1" x14ac:dyDescent="0.3">
      <c r="A23" s="11" t="s">
        <v>70</v>
      </c>
      <c r="E23" s="4" t="s">
        <v>13</v>
      </c>
      <c r="F23" s="4" t="s">
        <v>46</v>
      </c>
      <c r="G23" s="4" t="s">
        <v>71</v>
      </c>
      <c r="H23" s="24">
        <v>0</v>
      </c>
      <c r="I23" s="6">
        <v>0</v>
      </c>
      <c r="J23" s="4" t="s">
        <v>63</v>
      </c>
      <c r="P23" s="18"/>
      <c r="R23" s="19">
        <f t="shared" si="2"/>
        <v>0</v>
      </c>
    </row>
    <row r="24" spans="1:18" ht="15" customHeight="1" x14ac:dyDescent="0.3">
      <c r="A24" s="11" t="s">
        <v>67</v>
      </c>
      <c r="E24" s="4" t="s">
        <v>13</v>
      </c>
      <c r="F24" s="4" t="s">
        <v>46</v>
      </c>
      <c r="G24" s="4" t="s">
        <v>72</v>
      </c>
      <c r="H24" s="24">
        <v>0</v>
      </c>
      <c r="I24" s="6">
        <v>0</v>
      </c>
      <c r="J24" s="4" t="s">
        <v>73</v>
      </c>
      <c r="P24" s="18"/>
      <c r="R24" s="19"/>
    </row>
    <row r="25" spans="1:18" ht="15" customHeight="1" x14ac:dyDescent="0.3">
      <c r="A25" s="11" t="s">
        <v>35</v>
      </c>
      <c r="E25" s="4" t="s">
        <v>47</v>
      </c>
      <c r="F25" s="4" t="s">
        <v>43</v>
      </c>
      <c r="G25" s="4" t="s">
        <v>92</v>
      </c>
      <c r="H25" s="24">
        <v>6.3823684210526315</v>
      </c>
      <c r="I25" s="6">
        <v>0</v>
      </c>
      <c r="J25" s="4" t="s">
        <v>63</v>
      </c>
      <c r="P25" s="18">
        <f t="shared" si="1"/>
        <v>0</v>
      </c>
      <c r="R25" s="19">
        <f t="shared" si="2"/>
        <v>0</v>
      </c>
    </row>
    <row r="26" spans="1:18" ht="15" customHeight="1" x14ac:dyDescent="0.3">
      <c r="A26" s="11" t="s">
        <v>65</v>
      </c>
      <c r="E26" s="4" t="s">
        <v>47</v>
      </c>
      <c r="F26" s="4" t="s">
        <v>43</v>
      </c>
      <c r="G26" s="4" t="s">
        <v>69</v>
      </c>
      <c r="H26" s="24">
        <v>0</v>
      </c>
      <c r="I26" s="6">
        <v>0</v>
      </c>
      <c r="J26" s="4" t="s">
        <v>63</v>
      </c>
      <c r="P26" s="18"/>
      <c r="R26" s="19"/>
    </row>
    <row r="27" spans="1:18" ht="15" customHeight="1" x14ac:dyDescent="0.3">
      <c r="A27" s="11" t="s">
        <v>35</v>
      </c>
      <c r="E27" s="4" t="s">
        <v>47</v>
      </c>
      <c r="F27" s="4" t="s">
        <v>44</v>
      </c>
      <c r="G27" s="4" t="s">
        <v>93</v>
      </c>
      <c r="H27" s="24">
        <v>16.382368421052632</v>
      </c>
      <c r="I27" s="6">
        <v>0</v>
      </c>
      <c r="J27" s="4" t="s">
        <v>63</v>
      </c>
      <c r="P27" s="18">
        <f t="shared" si="1"/>
        <v>0</v>
      </c>
      <c r="R27" s="19">
        <f t="shared" si="2"/>
        <v>0</v>
      </c>
    </row>
    <row r="28" spans="1:18" ht="15" customHeight="1" x14ac:dyDescent="0.3">
      <c r="A28" s="11" t="s">
        <v>65</v>
      </c>
      <c r="E28" s="4" t="s">
        <v>47</v>
      </c>
      <c r="F28" s="4" t="s">
        <v>44</v>
      </c>
      <c r="G28" s="4" t="s">
        <v>69</v>
      </c>
      <c r="H28" s="24">
        <v>0</v>
      </c>
      <c r="I28" s="6">
        <v>0</v>
      </c>
      <c r="J28" s="4" t="s">
        <v>63</v>
      </c>
      <c r="P28" s="18"/>
      <c r="R28" s="19"/>
    </row>
    <row r="29" spans="1:18" ht="15" customHeight="1" x14ac:dyDescent="0.3">
      <c r="A29" s="11" t="s">
        <v>35</v>
      </c>
      <c r="E29" s="4" t="s">
        <v>47</v>
      </c>
      <c r="F29" s="4" t="s">
        <v>46</v>
      </c>
      <c r="G29" s="4" t="s">
        <v>94</v>
      </c>
      <c r="H29" s="24">
        <v>2.3823684210526315</v>
      </c>
      <c r="I29" s="6">
        <v>0</v>
      </c>
      <c r="J29" s="4" t="s">
        <v>63</v>
      </c>
      <c r="P29" s="18">
        <f t="shared" si="1"/>
        <v>0</v>
      </c>
      <c r="R29" s="19">
        <f t="shared" si="2"/>
        <v>0</v>
      </c>
    </row>
    <row r="30" spans="1:18" ht="15" customHeight="1" x14ac:dyDescent="0.3">
      <c r="A30" s="11" t="s">
        <v>65</v>
      </c>
      <c r="E30" s="4" t="s">
        <v>47</v>
      </c>
      <c r="F30" s="4" t="s">
        <v>46</v>
      </c>
      <c r="G30" s="4" t="s">
        <v>69</v>
      </c>
      <c r="H30" s="24">
        <v>0</v>
      </c>
      <c r="I30" s="6">
        <v>0</v>
      </c>
      <c r="J30" s="4" t="s">
        <v>63</v>
      </c>
      <c r="P30" s="18"/>
      <c r="R30" s="19"/>
    </row>
    <row r="31" spans="1:18" ht="15" customHeight="1" x14ac:dyDescent="0.3">
      <c r="A31" s="11" t="s">
        <v>70</v>
      </c>
      <c r="E31" s="4" t="s">
        <v>47</v>
      </c>
      <c r="F31" s="4" t="s">
        <v>46</v>
      </c>
      <c r="G31" s="4" t="s">
        <v>74</v>
      </c>
      <c r="H31" s="24">
        <v>0</v>
      </c>
      <c r="I31" s="6">
        <v>0</v>
      </c>
      <c r="J31" s="4" t="s">
        <v>63</v>
      </c>
      <c r="P31" s="18"/>
      <c r="R31" s="19"/>
    </row>
    <row r="32" spans="1:18" ht="15" customHeight="1" x14ac:dyDescent="0.3">
      <c r="A32" s="11" t="s">
        <v>67</v>
      </c>
      <c r="E32" s="4" t="s">
        <v>47</v>
      </c>
      <c r="F32" s="4" t="s">
        <v>46</v>
      </c>
      <c r="G32" s="4" t="s">
        <v>75</v>
      </c>
      <c r="H32" s="24">
        <v>0</v>
      </c>
      <c r="I32" s="6">
        <v>0</v>
      </c>
      <c r="J32" s="4" t="s">
        <v>73</v>
      </c>
      <c r="P32" s="18"/>
      <c r="R32" s="19"/>
    </row>
    <row r="33" spans="1:18" ht="15" customHeight="1" x14ac:dyDescent="0.3">
      <c r="A33" s="11" t="s">
        <v>48</v>
      </c>
      <c r="E33" s="23" t="s">
        <v>48</v>
      </c>
      <c r="F33" s="4" t="s">
        <v>48</v>
      </c>
      <c r="G33" s="4" t="s">
        <v>48</v>
      </c>
      <c r="H33" s="24">
        <v>0</v>
      </c>
      <c r="I33" s="6">
        <v>0</v>
      </c>
      <c r="J33" s="4" t="s">
        <v>63</v>
      </c>
      <c r="P33" s="18">
        <f t="shared" si="1"/>
        <v>0</v>
      </c>
      <c r="R33" s="19">
        <f t="shared" si="2"/>
        <v>0</v>
      </c>
    </row>
    <row r="34" spans="1:18" ht="15" customHeight="1" x14ac:dyDescent="0.3">
      <c r="E34" s="4" t="s">
        <v>49</v>
      </c>
      <c r="F34" s="4" t="s">
        <v>49</v>
      </c>
      <c r="G34" s="4" t="s">
        <v>49</v>
      </c>
      <c r="H34" s="24">
        <v>16.382368421052632</v>
      </c>
      <c r="I34" s="6">
        <v>0</v>
      </c>
      <c r="J34" s="4" t="s">
        <v>63</v>
      </c>
      <c r="P34" s="18">
        <f t="shared" si="1"/>
        <v>0</v>
      </c>
      <c r="R34" s="19">
        <f t="shared" si="2"/>
        <v>0</v>
      </c>
    </row>
    <row r="35" spans="1:18" ht="15" customHeight="1" x14ac:dyDescent="0.3">
      <c r="A35" s="11" t="s">
        <v>35</v>
      </c>
      <c r="E35" s="23" t="s">
        <v>51</v>
      </c>
      <c r="F35" s="4" t="s">
        <v>51</v>
      </c>
      <c r="G35" s="4" t="s">
        <v>51</v>
      </c>
      <c r="H35" s="24">
        <v>0</v>
      </c>
      <c r="I35" s="6">
        <v>0</v>
      </c>
      <c r="J35" s="4" t="s">
        <v>63</v>
      </c>
      <c r="P35" s="18">
        <f t="shared" si="1"/>
        <v>0</v>
      </c>
      <c r="R35" s="19">
        <f t="shared" si="2"/>
        <v>0</v>
      </c>
    </row>
    <row r="36" spans="1:18" ht="15" customHeight="1" x14ac:dyDescent="0.3">
      <c r="P36" s="18">
        <f t="shared" si="1"/>
        <v>0</v>
      </c>
      <c r="R36" s="19">
        <f t="shared" si="2"/>
        <v>0</v>
      </c>
    </row>
    <row r="37" spans="1:18" ht="15" customHeight="1" x14ac:dyDescent="0.3">
      <c r="G37" s="22" t="s">
        <v>76</v>
      </c>
      <c r="P37" s="18">
        <f t="shared" si="1"/>
        <v>0</v>
      </c>
      <c r="R37" s="19">
        <f t="shared" si="2"/>
        <v>0</v>
      </c>
    </row>
    <row r="38" spans="1:18" ht="15" customHeight="1" x14ac:dyDescent="0.3">
      <c r="G38" s="22" t="s">
        <v>77</v>
      </c>
      <c r="P38" s="18">
        <f t="shared" si="1"/>
        <v>0</v>
      </c>
      <c r="R38" s="19">
        <f t="shared" si="2"/>
        <v>0</v>
      </c>
    </row>
    <row r="39" spans="1:18" ht="15" customHeight="1" x14ac:dyDescent="0.3">
      <c r="G39" s="22" t="s">
        <v>78</v>
      </c>
      <c r="P39" s="18">
        <f t="shared" si="1"/>
        <v>0</v>
      </c>
      <c r="R39" s="19">
        <f t="shared" si="2"/>
        <v>0</v>
      </c>
    </row>
    <row r="40" spans="1:18" ht="15" customHeight="1" x14ac:dyDescent="0.3">
      <c r="P40" s="18">
        <f t="shared" si="1"/>
        <v>0</v>
      </c>
      <c r="R40" s="19">
        <f t="shared" si="2"/>
        <v>0</v>
      </c>
    </row>
    <row r="41" spans="1:18" ht="15" customHeight="1" x14ac:dyDescent="0.3">
      <c r="P41" s="18">
        <f t="shared" si="1"/>
        <v>0</v>
      </c>
      <c r="R41" s="19">
        <f t="shared" si="2"/>
        <v>0</v>
      </c>
    </row>
    <row r="42" spans="1:18" ht="15" customHeight="1" x14ac:dyDescent="0.3">
      <c r="P42" s="18">
        <f t="shared" si="1"/>
        <v>0</v>
      </c>
      <c r="R42" s="19">
        <f t="shared" si="2"/>
        <v>0</v>
      </c>
    </row>
    <row r="43" spans="1:18" ht="15" customHeight="1" x14ac:dyDescent="0.3">
      <c r="P43" s="18">
        <f t="shared" si="1"/>
        <v>0</v>
      </c>
      <c r="R43" s="19">
        <f t="shared" si="2"/>
        <v>0</v>
      </c>
    </row>
    <row r="44" spans="1:18" ht="15" customHeight="1" x14ac:dyDescent="0.3">
      <c r="P44" s="18">
        <f t="shared" si="1"/>
        <v>0</v>
      </c>
      <c r="R44" s="19">
        <f t="shared" si="2"/>
        <v>0</v>
      </c>
    </row>
    <row r="45" spans="1:18" ht="15" customHeight="1" x14ac:dyDescent="0.3">
      <c r="P45" s="18">
        <f t="shared" si="1"/>
        <v>0</v>
      </c>
      <c r="R45" s="19">
        <f t="shared" si="2"/>
        <v>0</v>
      </c>
    </row>
    <row r="46" spans="1:18" ht="15" customHeight="1" x14ac:dyDescent="0.3">
      <c r="P46" s="18">
        <f t="shared" si="1"/>
        <v>0</v>
      </c>
      <c r="R46" s="19">
        <f t="shared" si="2"/>
        <v>0</v>
      </c>
    </row>
    <row r="47" spans="1:18" ht="15" customHeight="1" x14ac:dyDescent="0.3">
      <c r="P47" s="18">
        <f t="shared" si="1"/>
        <v>0</v>
      </c>
      <c r="R47" s="19">
        <f t="shared" si="2"/>
        <v>0</v>
      </c>
    </row>
    <row r="48" spans="1:18" ht="15" customHeight="1" x14ac:dyDescent="0.3">
      <c r="P48" s="18">
        <f t="shared" si="1"/>
        <v>0</v>
      </c>
      <c r="R48" s="19">
        <f t="shared" si="2"/>
        <v>0</v>
      </c>
    </row>
    <row r="49" spans="16:18" ht="15" customHeight="1" x14ac:dyDescent="0.3">
      <c r="P49" s="18">
        <f t="shared" si="1"/>
        <v>0</v>
      </c>
      <c r="R49" s="19">
        <f t="shared" si="2"/>
        <v>0</v>
      </c>
    </row>
    <row r="50" spans="16:18" ht="15" customHeight="1" x14ac:dyDescent="0.3">
      <c r="P50" s="18">
        <f t="shared" si="1"/>
        <v>0</v>
      </c>
      <c r="R50" s="19">
        <f t="shared" si="2"/>
        <v>0</v>
      </c>
    </row>
    <row r="51" spans="16:18" ht="15" customHeight="1" x14ac:dyDescent="0.3">
      <c r="P51" s="18">
        <f t="shared" si="1"/>
        <v>0</v>
      </c>
      <c r="R51" s="19">
        <f t="shared" si="2"/>
        <v>0</v>
      </c>
    </row>
    <row r="52" spans="16:18" ht="15" customHeight="1" x14ac:dyDescent="0.3">
      <c r="P52" s="18">
        <f t="shared" si="1"/>
        <v>0</v>
      </c>
      <c r="R52" s="19">
        <f t="shared" si="2"/>
        <v>0</v>
      </c>
    </row>
    <row r="53" spans="16:18" ht="15" customHeight="1" x14ac:dyDescent="0.3">
      <c r="P53" s="18">
        <f t="shared" si="1"/>
        <v>0</v>
      </c>
      <c r="R53" s="19">
        <f t="shared" si="2"/>
        <v>0</v>
      </c>
    </row>
    <row r="54" spans="16:18" ht="15" customHeight="1" x14ac:dyDescent="0.3">
      <c r="P54" s="18">
        <f t="shared" si="1"/>
        <v>0</v>
      </c>
      <c r="R54" s="19">
        <f t="shared" si="2"/>
        <v>0</v>
      </c>
    </row>
    <row r="55" spans="16:18" ht="15" customHeight="1" x14ac:dyDescent="0.3">
      <c r="P55" s="18">
        <f t="shared" si="1"/>
        <v>0</v>
      </c>
      <c r="R55" s="19">
        <f t="shared" si="2"/>
        <v>0</v>
      </c>
    </row>
    <row r="56" spans="16:18" ht="15" customHeight="1" x14ac:dyDescent="0.3">
      <c r="P56" s="18">
        <f t="shared" si="1"/>
        <v>0</v>
      </c>
      <c r="R56" s="19">
        <f t="shared" si="2"/>
        <v>0</v>
      </c>
    </row>
    <row r="57" spans="16:18" ht="15" customHeight="1" x14ac:dyDescent="0.3">
      <c r="P57" s="18">
        <f t="shared" si="1"/>
        <v>0</v>
      </c>
      <c r="R57" s="19">
        <f t="shared" si="2"/>
        <v>0</v>
      </c>
    </row>
    <row r="58" spans="16:18" ht="15" customHeight="1" x14ac:dyDescent="0.3">
      <c r="P58" s="18">
        <f t="shared" si="1"/>
        <v>0</v>
      </c>
      <c r="R58" s="19">
        <f t="shared" si="2"/>
        <v>0</v>
      </c>
    </row>
    <row r="59" spans="16:18" ht="15" customHeight="1" x14ac:dyDescent="0.3">
      <c r="P59" s="18">
        <f t="shared" si="1"/>
        <v>0</v>
      </c>
      <c r="R59" s="19">
        <f t="shared" si="2"/>
        <v>0</v>
      </c>
    </row>
    <row r="60" spans="16:18" ht="15" customHeight="1" x14ac:dyDescent="0.3">
      <c r="P60" s="18">
        <f t="shared" si="1"/>
        <v>0</v>
      </c>
      <c r="R60" s="19">
        <f t="shared" si="2"/>
        <v>0</v>
      </c>
    </row>
    <row r="61" spans="16:18" ht="15" customHeight="1" x14ac:dyDescent="0.3">
      <c r="P61" s="18">
        <f t="shared" si="1"/>
        <v>0</v>
      </c>
      <c r="R61" s="19">
        <f t="shared" si="2"/>
        <v>0</v>
      </c>
    </row>
    <row r="62" spans="16:18" ht="15" customHeight="1" x14ac:dyDescent="0.3">
      <c r="P62" s="18">
        <f t="shared" si="1"/>
        <v>0</v>
      </c>
      <c r="R62" s="19">
        <f t="shared" si="2"/>
        <v>0</v>
      </c>
    </row>
    <row r="63" spans="16:18" ht="15" customHeight="1" x14ac:dyDescent="0.3">
      <c r="P63" s="18">
        <f t="shared" si="1"/>
        <v>0</v>
      </c>
      <c r="R63" s="19">
        <f t="shared" si="2"/>
        <v>0</v>
      </c>
    </row>
    <row r="64" spans="16:18" ht="15" customHeight="1" x14ac:dyDescent="0.3">
      <c r="P64" s="18">
        <f t="shared" si="1"/>
        <v>0</v>
      </c>
      <c r="R64" s="19">
        <f t="shared" si="2"/>
        <v>0</v>
      </c>
    </row>
    <row r="65" spans="16:18" ht="15" customHeight="1" x14ac:dyDescent="0.3">
      <c r="P65" s="18">
        <f t="shared" si="1"/>
        <v>0</v>
      </c>
      <c r="R65" s="19">
        <f t="shared" si="2"/>
        <v>0</v>
      </c>
    </row>
    <row r="66" spans="16:18" ht="15" customHeight="1" x14ac:dyDescent="0.3">
      <c r="P66" s="18">
        <f t="shared" si="1"/>
        <v>0</v>
      </c>
      <c r="R66" s="19">
        <f t="shared" si="2"/>
        <v>0</v>
      </c>
    </row>
    <row r="67" spans="16:18" ht="15" customHeight="1" x14ac:dyDescent="0.3">
      <c r="P67" s="18">
        <f t="shared" si="1"/>
        <v>0</v>
      </c>
      <c r="R67" s="19">
        <f t="shared" si="2"/>
        <v>0</v>
      </c>
    </row>
    <row r="68" spans="16:18" ht="15" customHeight="1" x14ac:dyDescent="0.3">
      <c r="P68" s="18">
        <f t="shared" ref="P68:P131" si="5">IF(OR(A68="D",A68="M"),0,MAX(O68-N68,0))</f>
        <v>0</v>
      </c>
      <c r="R68" s="19">
        <f t="shared" ref="R68:R131" si="6">H68*I68</f>
        <v>0</v>
      </c>
    </row>
    <row r="69" spans="16:18" ht="15" customHeight="1" x14ac:dyDescent="0.3">
      <c r="P69" s="18">
        <f t="shared" si="5"/>
        <v>0</v>
      </c>
      <c r="R69" s="19">
        <f t="shared" si="6"/>
        <v>0</v>
      </c>
    </row>
    <row r="70" spans="16:18" ht="15" customHeight="1" x14ac:dyDescent="0.3">
      <c r="P70" s="18">
        <f t="shared" si="5"/>
        <v>0</v>
      </c>
      <c r="R70" s="19">
        <f t="shared" si="6"/>
        <v>0</v>
      </c>
    </row>
    <row r="71" spans="16:18" ht="15" customHeight="1" x14ac:dyDescent="0.3">
      <c r="P71" s="18">
        <f t="shared" si="5"/>
        <v>0</v>
      </c>
      <c r="R71" s="19">
        <f t="shared" si="6"/>
        <v>0</v>
      </c>
    </row>
    <row r="72" spans="16:18" ht="15" customHeight="1" x14ac:dyDescent="0.3">
      <c r="P72" s="18">
        <f t="shared" si="5"/>
        <v>0</v>
      </c>
      <c r="R72" s="19">
        <f t="shared" si="6"/>
        <v>0</v>
      </c>
    </row>
    <row r="73" spans="16:18" ht="15" customHeight="1" x14ac:dyDescent="0.3">
      <c r="P73" s="18">
        <f t="shared" si="5"/>
        <v>0</v>
      </c>
      <c r="R73" s="19">
        <f t="shared" si="6"/>
        <v>0</v>
      </c>
    </row>
    <row r="74" spans="16:18" ht="15" customHeight="1" x14ac:dyDescent="0.3">
      <c r="P74" s="18">
        <f t="shared" si="5"/>
        <v>0</v>
      </c>
      <c r="R74" s="19">
        <f t="shared" si="6"/>
        <v>0</v>
      </c>
    </row>
    <row r="75" spans="16:18" ht="15" customHeight="1" x14ac:dyDescent="0.3">
      <c r="P75" s="18">
        <f t="shared" si="5"/>
        <v>0</v>
      </c>
      <c r="R75" s="19">
        <f t="shared" si="6"/>
        <v>0</v>
      </c>
    </row>
    <row r="76" spans="16:18" ht="15" customHeight="1" x14ac:dyDescent="0.3">
      <c r="P76" s="18">
        <f t="shared" si="5"/>
        <v>0</v>
      </c>
      <c r="R76" s="19">
        <f t="shared" si="6"/>
        <v>0</v>
      </c>
    </row>
    <row r="77" spans="16:18" ht="15" customHeight="1" x14ac:dyDescent="0.3">
      <c r="P77" s="18">
        <f t="shared" si="5"/>
        <v>0</v>
      </c>
      <c r="R77" s="19">
        <f t="shared" si="6"/>
        <v>0</v>
      </c>
    </row>
    <row r="78" spans="16:18" ht="15" customHeight="1" x14ac:dyDescent="0.3">
      <c r="P78" s="18">
        <f t="shared" si="5"/>
        <v>0</v>
      </c>
      <c r="R78" s="19">
        <f t="shared" si="6"/>
        <v>0</v>
      </c>
    </row>
    <row r="79" spans="16:18" ht="15" customHeight="1" x14ac:dyDescent="0.3">
      <c r="P79" s="18">
        <f t="shared" si="5"/>
        <v>0</v>
      </c>
      <c r="R79" s="19">
        <f t="shared" si="6"/>
        <v>0</v>
      </c>
    </row>
    <row r="80" spans="16:18" ht="15" customHeight="1" x14ac:dyDescent="0.3">
      <c r="P80" s="18">
        <f t="shared" si="5"/>
        <v>0</v>
      </c>
      <c r="R80" s="19">
        <f t="shared" si="6"/>
        <v>0</v>
      </c>
    </row>
    <row r="81" spans="16:18" ht="15" customHeight="1" x14ac:dyDescent="0.3">
      <c r="P81" s="18">
        <f t="shared" si="5"/>
        <v>0</v>
      </c>
      <c r="R81" s="19">
        <f t="shared" si="6"/>
        <v>0</v>
      </c>
    </row>
    <row r="82" spans="16:18" ht="15" customHeight="1" x14ac:dyDescent="0.3">
      <c r="P82" s="18">
        <f t="shared" si="5"/>
        <v>0</v>
      </c>
      <c r="R82" s="19">
        <f t="shared" si="6"/>
        <v>0</v>
      </c>
    </row>
    <row r="83" spans="16:18" ht="15" customHeight="1" x14ac:dyDescent="0.3">
      <c r="P83" s="18">
        <f t="shared" si="5"/>
        <v>0</v>
      </c>
      <c r="R83" s="19">
        <f t="shared" si="6"/>
        <v>0</v>
      </c>
    </row>
    <row r="84" spans="16:18" ht="15" customHeight="1" x14ac:dyDescent="0.3">
      <c r="P84" s="18">
        <f t="shared" si="5"/>
        <v>0</v>
      </c>
      <c r="R84" s="19">
        <f t="shared" si="6"/>
        <v>0</v>
      </c>
    </row>
    <row r="85" spans="16:18" ht="15" customHeight="1" x14ac:dyDescent="0.3">
      <c r="P85" s="18">
        <f t="shared" si="5"/>
        <v>0</v>
      </c>
      <c r="R85" s="19">
        <f t="shared" si="6"/>
        <v>0</v>
      </c>
    </row>
    <row r="86" spans="16:18" ht="15" customHeight="1" x14ac:dyDescent="0.3">
      <c r="P86" s="18">
        <f t="shared" si="5"/>
        <v>0</v>
      </c>
      <c r="R86" s="19">
        <f t="shared" si="6"/>
        <v>0</v>
      </c>
    </row>
    <row r="87" spans="16:18" ht="15" customHeight="1" x14ac:dyDescent="0.3">
      <c r="P87" s="18">
        <f t="shared" si="5"/>
        <v>0</v>
      </c>
      <c r="R87" s="19">
        <f t="shared" si="6"/>
        <v>0</v>
      </c>
    </row>
    <row r="88" spans="16:18" ht="15" customHeight="1" x14ac:dyDescent="0.3">
      <c r="P88" s="18">
        <f t="shared" si="5"/>
        <v>0</v>
      </c>
      <c r="R88" s="19">
        <f t="shared" si="6"/>
        <v>0</v>
      </c>
    </row>
    <row r="89" spans="16:18" ht="15" customHeight="1" x14ac:dyDescent="0.3">
      <c r="P89" s="18">
        <f t="shared" si="5"/>
        <v>0</v>
      </c>
      <c r="R89" s="19">
        <f t="shared" si="6"/>
        <v>0</v>
      </c>
    </row>
    <row r="90" spans="16:18" ht="15" customHeight="1" x14ac:dyDescent="0.3">
      <c r="P90" s="18">
        <f t="shared" si="5"/>
        <v>0</v>
      </c>
      <c r="R90" s="19">
        <f t="shared" si="6"/>
        <v>0</v>
      </c>
    </row>
    <row r="91" spans="16:18" ht="15" customHeight="1" x14ac:dyDescent="0.3">
      <c r="P91" s="18">
        <f t="shared" si="5"/>
        <v>0</v>
      </c>
      <c r="R91" s="19">
        <f t="shared" si="6"/>
        <v>0</v>
      </c>
    </row>
    <row r="92" spans="16:18" ht="15" customHeight="1" x14ac:dyDescent="0.3">
      <c r="P92" s="18">
        <f t="shared" si="5"/>
        <v>0</v>
      </c>
      <c r="R92" s="19">
        <f t="shared" si="6"/>
        <v>0</v>
      </c>
    </row>
    <row r="93" spans="16:18" ht="15" customHeight="1" x14ac:dyDescent="0.3">
      <c r="P93" s="18">
        <f t="shared" si="5"/>
        <v>0</v>
      </c>
      <c r="R93" s="19">
        <f t="shared" si="6"/>
        <v>0</v>
      </c>
    </row>
    <row r="94" spans="16:18" ht="15" customHeight="1" x14ac:dyDescent="0.3">
      <c r="P94" s="18">
        <f t="shared" si="5"/>
        <v>0</v>
      </c>
      <c r="R94" s="19">
        <f t="shared" si="6"/>
        <v>0</v>
      </c>
    </row>
    <row r="95" spans="16:18" ht="15" customHeight="1" x14ac:dyDescent="0.3">
      <c r="P95" s="18">
        <f t="shared" si="5"/>
        <v>0</v>
      </c>
      <c r="R95" s="19">
        <f t="shared" si="6"/>
        <v>0</v>
      </c>
    </row>
    <row r="96" spans="16:18" ht="15" customHeight="1" x14ac:dyDescent="0.3">
      <c r="P96" s="18">
        <f t="shared" si="5"/>
        <v>0</v>
      </c>
      <c r="R96" s="19">
        <f t="shared" si="6"/>
        <v>0</v>
      </c>
    </row>
    <row r="97" spans="16:18" ht="15" customHeight="1" x14ac:dyDescent="0.3">
      <c r="P97" s="18">
        <f t="shared" si="5"/>
        <v>0</v>
      </c>
      <c r="R97" s="19">
        <f t="shared" si="6"/>
        <v>0</v>
      </c>
    </row>
    <row r="98" spans="16:18" ht="15" customHeight="1" x14ac:dyDescent="0.3">
      <c r="P98" s="18">
        <f t="shared" si="5"/>
        <v>0</v>
      </c>
      <c r="R98" s="19">
        <f t="shared" si="6"/>
        <v>0</v>
      </c>
    </row>
    <row r="99" spans="16:18" ht="15" customHeight="1" x14ac:dyDescent="0.3">
      <c r="P99" s="18">
        <f t="shared" si="5"/>
        <v>0</v>
      </c>
      <c r="R99" s="19">
        <f t="shared" si="6"/>
        <v>0</v>
      </c>
    </row>
    <row r="100" spans="16:18" ht="15" customHeight="1" x14ac:dyDescent="0.3">
      <c r="P100" s="18">
        <f t="shared" si="5"/>
        <v>0</v>
      </c>
      <c r="R100" s="19">
        <f t="shared" si="6"/>
        <v>0</v>
      </c>
    </row>
    <row r="101" spans="16:18" ht="15" customHeight="1" x14ac:dyDescent="0.3">
      <c r="P101" s="18">
        <f t="shared" si="5"/>
        <v>0</v>
      </c>
      <c r="R101" s="19">
        <f t="shared" si="6"/>
        <v>0</v>
      </c>
    </row>
    <row r="102" spans="16:18" ht="15" customHeight="1" x14ac:dyDescent="0.3">
      <c r="P102" s="18">
        <f t="shared" si="5"/>
        <v>0</v>
      </c>
      <c r="R102" s="19">
        <f t="shared" si="6"/>
        <v>0</v>
      </c>
    </row>
    <row r="103" spans="16:18" ht="15" customHeight="1" x14ac:dyDescent="0.3">
      <c r="P103" s="18">
        <f t="shared" si="5"/>
        <v>0</v>
      </c>
      <c r="R103" s="19">
        <f t="shared" si="6"/>
        <v>0</v>
      </c>
    </row>
    <row r="104" spans="16:18" ht="15" customHeight="1" x14ac:dyDescent="0.3">
      <c r="P104" s="18">
        <f t="shared" si="5"/>
        <v>0</v>
      </c>
      <c r="R104" s="19">
        <f t="shared" si="6"/>
        <v>0</v>
      </c>
    </row>
    <row r="105" spans="16:18" ht="15" customHeight="1" x14ac:dyDescent="0.3">
      <c r="P105" s="18">
        <f t="shared" si="5"/>
        <v>0</v>
      </c>
      <c r="R105" s="19">
        <f t="shared" si="6"/>
        <v>0</v>
      </c>
    </row>
    <row r="106" spans="16:18" ht="15" customHeight="1" x14ac:dyDescent="0.3">
      <c r="P106" s="18">
        <f t="shared" si="5"/>
        <v>0</v>
      </c>
      <c r="R106" s="19">
        <f t="shared" si="6"/>
        <v>0</v>
      </c>
    </row>
    <row r="107" spans="16:18" ht="15" customHeight="1" x14ac:dyDescent="0.3">
      <c r="P107" s="18">
        <f t="shared" si="5"/>
        <v>0</v>
      </c>
      <c r="R107" s="19">
        <f t="shared" si="6"/>
        <v>0</v>
      </c>
    </row>
    <row r="108" spans="16:18" ht="15" customHeight="1" x14ac:dyDescent="0.3">
      <c r="P108" s="18">
        <f t="shared" si="5"/>
        <v>0</v>
      </c>
      <c r="R108" s="19">
        <f t="shared" si="6"/>
        <v>0</v>
      </c>
    </row>
    <row r="109" spans="16:18" ht="15" customHeight="1" x14ac:dyDescent="0.3">
      <c r="P109" s="18">
        <f t="shared" si="5"/>
        <v>0</v>
      </c>
      <c r="R109" s="19">
        <f t="shared" si="6"/>
        <v>0</v>
      </c>
    </row>
    <row r="110" spans="16:18" ht="15" customHeight="1" x14ac:dyDescent="0.3">
      <c r="P110" s="18">
        <f t="shared" si="5"/>
        <v>0</v>
      </c>
      <c r="R110" s="19">
        <f t="shared" si="6"/>
        <v>0</v>
      </c>
    </row>
    <row r="111" spans="16:18" ht="15" customHeight="1" x14ac:dyDescent="0.3">
      <c r="P111" s="18">
        <f t="shared" si="5"/>
        <v>0</v>
      </c>
      <c r="R111" s="19">
        <f t="shared" si="6"/>
        <v>0</v>
      </c>
    </row>
    <row r="112" spans="16:18" ht="15" customHeight="1" x14ac:dyDescent="0.3">
      <c r="P112" s="18">
        <f t="shared" si="5"/>
        <v>0</v>
      </c>
      <c r="R112" s="19">
        <f t="shared" si="6"/>
        <v>0</v>
      </c>
    </row>
    <row r="113" spans="16:18" ht="15" customHeight="1" x14ac:dyDescent="0.3">
      <c r="P113" s="18">
        <f t="shared" si="5"/>
        <v>0</v>
      </c>
      <c r="R113" s="19">
        <f t="shared" si="6"/>
        <v>0</v>
      </c>
    </row>
    <row r="114" spans="16:18" ht="15" customHeight="1" x14ac:dyDescent="0.3">
      <c r="P114" s="18">
        <f t="shared" si="5"/>
        <v>0</v>
      </c>
      <c r="R114" s="19">
        <f t="shared" si="6"/>
        <v>0</v>
      </c>
    </row>
    <row r="115" spans="16:18" ht="15" customHeight="1" x14ac:dyDescent="0.3">
      <c r="P115" s="18">
        <f t="shared" si="5"/>
        <v>0</v>
      </c>
      <c r="R115" s="19">
        <f t="shared" si="6"/>
        <v>0</v>
      </c>
    </row>
    <row r="116" spans="16:18" ht="15" customHeight="1" x14ac:dyDescent="0.3">
      <c r="P116" s="18">
        <f t="shared" si="5"/>
        <v>0</v>
      </c>
      <c r="R116" s="19">
        <f t="shared" si="6"/>
        <v>0</v>
      </c>
    </row>
    <row r="117" spans="16:18" ht="15" customHeight="1" x14ac:dyDescent="0.3">
      <c r="P117" s="18">
        <f t="shared" si="5"/>
        <v>0</v>
      </c>
      <c r="R117" s="19">
        <f t="shared" si="6"/>
        <v>0</v>
      </c>
    </row>
    <row r="118" spans="16:18" ht="15" customHeight="1" x14ac:dyDescent="0.3">
      <c r="P118" s="18">
        <f t="shared" si="5"/>
        <v>0</v>
      </c>
      <c r="R118" s="19">
        <f t="shared" si="6"/>
        <v>0</v>
      </c>
    </row>
    <row r="119" spans="16:18" ht="15" customHeight="1" x14ac:dyDescent="0.3">
      <c r="P119" s="18">
        <f t="shared" si="5"/>
        <v>0</v>
      </c>
      <c r="R119" s="19">
        <f t="shared" si="6"/>
        <v>0</v>
      </c>
    </row>
    <row r="120" spans="16:18" ht="15" customHeight="1" x14ac:dyDescent="0.3">
      <c r="P120" s="18">
        <f t="shared" si="5"/>
        <v>0</v>
      </c>
      <c r="R120" s="19">
        <f t="shared" si="6"/>
        <v>0</v>
      </c>
    </row>
    <row r="121" spans="16:18" ht="15" customHeight="1" x14ac:dyDescent="0.3">
      <c r="P121" s="18">
        <f t="shared" si="5"/>
        <v>0</v>
      </c>
      <c r="R121" s="19">
        <f t="shared" si="6"/>
        <v>0</v>
      </c>
    </row>
    <row r="122" spans="16:18" ht="15" customHeight="1" x14ac:dyDescent="0.3">
      <c r="P122" s="18">
        <f t="shared" si="5"/>
        <v>0</v>
      </c>
      <c r="R122" s="19">
        <f t="shared" si="6"/>
        <v>0</v>
      </c>
    </row>
    <row r="123" spans="16:18" ht="15" customHeight="1" x14ac:dyDescent="0.3">
      <c r="P123" s="18">
        <f t="shared" si="5"/>
        <v>0</v>
      </c>
      <c r="R123" s="19">
        <f t="shared" si="6"/>
        <v>0</v>
      </c>
    </row>
    <row r="124" spans="16:18" ht="15" customHeight="1" x14ac:dyDescent="0.3">
      <c r="P124" s="18">
        <f t="shared" si="5"/>
        <v>0</v>
      </c>
      <c r="R124" s="19">
        <f t="shared" si="6"/>
        <v>0</v>
      </c>
    </row>
    <row r="125" spans="16:18" ht="15" customHeight="1" x14ac:dyDescent="0.3">
      <c r="P125" s="18">
        <f t="shared" si="5"/>
        <v>0</v>
      </c>
      <c r="R125" s="19">
        <f t="shared" si="6"/>
        <v>0</v>
      </c>
    </row>
    <row r="126" spans="16:18" ht="15" customHeight="1" x14ac:dyDescent="0.3">
      <c r="P126" s="18">
        <f t="shared" si="5"/>
        <v>0</v>
      </c>
      <c r="R126" s="19">
        <f t="shared" si="6"/>
        <v>0</v>
      </c>
    </row>
    <row r="127" spans="16:18" ht="15" customHeight="1" x14ac:dyDescent="0.3">
      <c r="P127" s="18">
        <f t="shared" si="5"/>
        <v>0</v>
      </c>
      <c r="R127" s="19">
        <f t="shared" si="6"/>
        <v>0</v>
      </c>
    </row>
    <row r="128" spans="16:18" ht="15" customHeight="1" x14ac:dyDescent="0.3">
      <c r="P128" s="18">
        <f t="shared" si="5"/>
        <v>0</v>
      </c>
      <c r="R128" s="19">
        <f t="shared" si="6"/>
        <v>0</v>
      </c>
    </row>
    <row r="129" spans="16:18" ht="15" customHeight="1" x14ac:dyDescent="0.3">
      <c r="P129" s="18">
        <f t="shared" si="5"/>
        <v>0</v>
      </c>
      <c r="R129" s="19">
        <f t="shared" si="6"/>
        <v>0</v>
      </c>
    </row>
    <row r="130" spans="16:18" ht="15" customHeight="1" x14ac:dyDescent="0.3">
      <c r="P130" s="18">
        <f t="shared" si="5"/>
        <v>0</v>
      </c>
      <c r="R130" s="19">
        <f t="shared" si="6"/>
        <v>0</v>
      </c>
    </row>
    <row r="131" spans="16:18" ht="15" customHeight="1" x14ac:dyDescent="0.3">
      <c r="P131" s="18">
        <f t="shared" si="5"/>
        <v>0</v>
      </c>
      <c r="R131" s="19">
        <f t="shared" si="6"/>
        <v>0</v>
      </c>
    </row>
    <row r="132" spans="16:18" ht="15" customHeight="1" x14ac:dyDescent="0.3">
      <c r="P132" s="18">
        <f t="shared" ref="P132:P195" si="7">IF(OR(A132="D",A132="M"),0,MAX(O132-N132,0))</f>
        <v>0</v>
      </c>
      <c r="R132" s="19">
        <f t="shared" ref="R132:R195" si="8">H132*I132</f>
        <v>0</v>
      </c>
    </row>
    <row r="133" spans="16:18" ht="15" customHeight="1" x14ac:dyDescent="0.3">
      <c r="P133" s="18">
        <f t="shared" si="7"/>
        <v>0</v>
      </c>
      <c r="R133" s="19">
        <f t="shared" si="8"/>
        <v>0</v>
      </c>
    </row>
    <row r="134" spans="16:18" ht="15" customHeight="1" x14ac:dyDescent="0.3">
      <c r="P134" s="18">
        <f t="shared" si="7"/>
        <v>0</v>
      </c>
      <c r="R134" s="19">
        <f t="shared" si="8"/>
        <v>0</v>
      </c>
    </row>
    <row r="135" spans="16:18" ht="15" customHeight="1" x14ac:dyDescent="0.3">
      <c r="P135" s="18">
        <f t="shared" si="7"/>
        <v>0</v>
      </c>
      <c r="R135" s="19">
        <f t="shared" si="8"/>
        <v>0</v>
      </c>
    </row>
    <row r="136" spans="16:18" ht="15" customHeight="1" x14ac:dyDescent="0.3">
      <c r="P136" s="18">
        <f t="shared" si="7"/>
        <v>0</v>
      </c>
      <c r="R136" s="19">
        <f t="shared" si="8"/>
        <v>0</v>
      </c>
    </row>
    <row r="137" spans="16:18" ht="15" customHeight="1" x14ac:dyDescent="0.3">
      <c r="P137" s="18">
        <f t="shared" si="7"/>
        <v>0</v>
      </c>
      <c r="R137" s="19">
        <f t="shared" si="8"/>
        <v>0</v>
      </c>
    </row>
    <row r="138" spans="16:18" ht="15" customHeight="1" x14ac:dyDescent="0.3">
      <c r="P138" s="18">
        <f t="shared" si="7"/>
        <v>0</v>
      </c>
      <c r="R138" s="19">
        <f t="shared" si="8"/>
        <v>0</v>
      </c>
    </row>
    <row r="139" spans="16:18" ht="15" customHeight="1" x14ac:dyDescent="0.3">
      <c r="P139" s="18">
        <f t="shared" si="7"/>
        <v>0</v>
      </c>
      <c r="R139" s="19">
        <f t="shared" si="8"/>
        <v>0</v>
      </c>
    </row>
    <row r="140" spans="16:18" ht="15" customHeight="1" x14ac:dyDescent="0.3">
      <c r="P140" s="18">
        <f t="shared" si="7"/>
        <v>0</v>
      </c>
      <c r="R140" s="19">
        <f t="shared" si="8"/>
        <v>0</v>
      </c>
    </row>
    <row r="141" spans="16:18" ht="15" customHeight="1" x14ac:dyDescent="0.3">
      <c r="P141" s="18">
        <f t="shared" si="7"/>
        <v>0</v>
      </c>
      <c r="R141" s="19">
        <f t="shared" si="8"/>
        <v>0</v>
      </c>
    </row>
    <row r="142" spans="16:18" ht="15" customHeight="1" x14ac:dyDescent="0.3">
      <c r="P142" s="18">
        <f t="shared" si="7"/>
        <v>0</v>
      </c>
      <c r="R142" s="19">
        <f t="shared" si="8"/>
        <v>0</v>
      </c>
    </row>
    <row r="143" spans="16:18" ht="15" customHeight="1" x14ac:dyDescent="0.3">
      <c r="P143" s="18">
        <f t="shared" si="7"/>
        <v>0</v>
      </c>
      <c r="R143" s="19">
        <f t="shared" si="8"/>
        <v>0</v>
      </c>
    </row>
    <row r="144" spans="16:18" ht="15" customHeight="1" x14ac:dyDescent="0.3">
      <c r="P144" s="18">
        <f t="shared" si="7"/>
        <v>0</v>
      </c>
      <c r="R144" s="19">
        <f t="shared" si="8"/>
        <v>0</v>
      </c>
    </row>
    <row r="145" spans="16:18" ht="15" customHeight="1" x14ac:dyDescent="0.3">
      <c r="P145" s="18">
        <f t="shared" si="7"/>
        <v>0</v>
      </c>
      <c r="R145" s="19">
        <f t="shared" si="8"/>
        <v>0</v>
      </c>
    </row>
    <row r="146" spans="16:18" ht="15" customHeight="1" x14ac:dyDescent="0.3">
      <c r="P146" s="18">
        <f t="shared" si="7"/>
        <v>0</v>
      </c>
      <c r="R146" s="19">
        <f t="shared" si="8"/>
        <v>0</v>
      </c>
    </row>
    <row r="147" spans="16:18" ht="15" customHeight="1" x14ac:dyDescent="0.3">
      <c r="P147" s="18">
        <f t="shared" si="7"/>
        <v>0</v>
      </c>
      <c r="R147" s="19">
        <f t="shared" si="8"/>
        <v>0</v>
      </c>
    </row>
    <row r="148" spans="16:18" ht="15" customHeight="1" x14ac:dyDescent="0.3">
      <c r="P148" s="18">
        <f t="shared" si="7"/>
        <v>0</v>
      </c>
      <c r="R148" s="19">
        <f t="shared" si="8"/>
        <v>0</v>
      </c>
    </row>
    <row r="149" spans="16:18" ht="15" customHeight="1" x14ac:dyDescent="0.3">
      <c r="P149" s="18">
        <f t="shared" si="7"/>
        <v>0</v>
      </c>
      <c r="R149" s="19">
        <f t="shared" si="8"/>
        <v>0</v>
      </c>
    </row>
    <row r="150" spans="16:18" ht="15" customHeight="1" x14ac:dyDescent="0.3">
      <c r="P150" s="18">
        <f t="shared" si="7"/>
        <v>0</v>
      </c>
      <c r="R150" s="19">
        <f t="shared" si="8"/>
        <v>0</v>
      </c>
    </row>
    <row r="151" spans="16:18" ht="15" customHeight="1" x14ac:dyDescent="0.3">
      <c r="P151" s="18">
        <f t="shared" si="7"/>
        <v>0</v>
      </c>
      <c r="R151" s="19">
        <f t="shared" si="8"/>
        <v>0</v>
      </c>
    </row>
    <row r="152" spans="16:18" ht="15" customHeight="1" x14ac:dyDescent="0.3">
      <c r="P152" s="18">
        <f t="shared" si="7"/>
        <v>0</v>
      </c>
      <c r="R152" s="19">
        <f t="shared" si="8"/>
        <v>0</v>
      </c>
    </row>
    <row r="153" spans="16:18" ht="15" customHeight="1" x14ac:dyDescent="0.3">
      <c r="P153" s="18">
        <f t="shared" si="7"/>
        <v>0</v>
      </c>
      <c r="R153" s="19">
        <f t="shared" si="8"/>
        <v>0</v>
      </c>
    </row>
    <row r="154" spans="16:18" ht="15" customHeight="1" x14ac:dyDescent="0.3">
      <c r="P154" s="18">
        <f t="shared" si="7"/>
        <v>0</v>
      </c>
      <c r="R154" s="19">
        <f t="shared" si="8"/>
        <v>0</v>
      </c>
    </row>
    <row r="155" spans="16:18" ht="15" customHeight="1" x14ac:dyDescent="0.3">
      <c r="P155" s="18">
        <f t="shared" si="7"/>
        <v>0</v>
      </c>
      <c r="R155" s="19">
        <f t="shared" si="8"/>
        <v>0</v>
      </c>
    </row>
    <row r="156" spans="16:18" ht="15" customHeight="1" x14ac:dyDescent="0.3">
      <c r="P156" s="18">
        <f t="shared" si="7"/>
        <v>0</v>
      </c>
      <c r="R156" s="19">
        <f t="shared" si="8"/>
        <v>0</v>
      </c>
    </row>
    <row r="157" spans="16:18" ht="15" customHeight="1" x14ac:dyDescent="0.3">
      <c r="P157" s="18">
        <f t="shared" si="7"/>
        <v>0</v>
      </c>
      <c r="R157" s="19">
        <f t="shared" si="8"/>
        <v>0</v>
      </c>
    </row>
    <row r="158" spans="16:18" ht="15" customHeight="1" x14ac:dyDescent="0.3">
      <c r="P158" s="18">
        <f t="shared" si="7"/>
        <v>0</v>
      </c>
      <c r="R158" s="19">
        <f t="shared" si="8"/>
        <v>0</v>
      </c>
    </row>
    <row r="159" spans="16:18" ht="15" customHeight="1" x14ac:dyDescent="0.3">
      <c r="P159" s="18">
        <f t="shared" si="7"/>
        <v>0</v>
      </c>
      <c r="R159" s="19">
        <f t="shared" si="8"/>
        <v>0</v>
      </c>
    </row>
    <row r="160" spans="16:18" ht="15" customHeight="1" x14ac:dyDescent="0.3">
      <c r="P160" s="18">
        <f t="shared" si="7"/>
        <v>0</v>
      </c>
      <c r="R160" s="19">
        <f t="shared" si="8"/>
        <v>0</v>
      </c>
    </row>
    <row r="161" spans="16:18" ht="15" customHeight="1" x14ac:dyDescent="0.3">
      <c r="P161" s="18">
        <f t="shared" si="7"/>
        <v>0</v>
      </c>
      <c r="R161" s="19">
        <f t="shared" si="8"/>
        <v>0</v>
      </c>
    </row>
    <row r="162" spans="16:18" ht="15" customHeight="1" x14ac:dyDescent="0.3">
      <c r="P162" s="18">
        <f t="shared" si="7"/>
        <v>0</v>
      </c>
      <c r="R162" s="19">
        <f t="shared" si="8"/>
        <v>0</v>
      </c>
    </row>
    <row r="163" spans="16:18" ht="15" customHeight="1" x14ac:dyDescent="0.3">
      <c r="P163" s="18">
        <f t="shared" si="7"/>
        <v>0</v>
      </c>
      <c r="R163" s="19">
        <f t="shared" si="8"/>
        <v>0</v>
      </c>
    </row>
    <row r="164" spans="16:18" ht="15" customHeight="1" x14ac:dyDescent="0.3">
      <c r="P164" s="18">
        <f t="shared" si="7"/>
        <v>0</v>
      </c>
      <c r="R164" s="19">
        <f t="shared" si="8"/>
        <v>0</v>
      </c>
    </row>
    <row r="165" spans="16:18" ht="15" customHeight="1" x14ac:dyDescent="0.3">
      <c r="P165" s="18">
        <f t="shared" si="7"/>
        <v>0</v>
      </c>
      <c r="R165" s="19">
        <f t="shared" si="8"/>
        <v>0</v>
      </c>
    </row>
    <row r="166" spans="16:18" ht="15" customHeight="1" x14ac:dyDescent="0.3">
      <c r="P166" s="18">
        <f t="shared" si="7"/>
        <v>0</v>
      </c>
      <c r="R166" s="19">
        <f t="shared" si="8"/>
        <v>0</v>
      </c>
    </row>
    <row r="167" spans="16:18" ht="15" customHeight="1" x14ac:dyDescent="0.3">
      <c r="P167" s="18">
        <f t="shared" si="7"/>
        <v>0</v>
      </c>
      <c r="R167" s="19">
        <f t="shared" si="8"/>
        <v>0</v>
      </c>
    </row>
    <row r="168" spans="16:18" ht="15" customHeight="1" x14ac:dyDescent="0.3">
      <c r="P168" s="18">
        <f t="shared" si="7"/>
        <v>0</v>
      </c>
      <c r="R168" s="19">
        <f t="shared" si="8"/>
        <v>0</v>
      </c>
    </row>
    <row r="169" spans="16:18" ht="15" customHeight="1" x14ac:dyDescent="0.3">
      <c r="P169" s="18">
        <f t="shared" si="7"/>
        <v>0</v>
      </c>
      <c r="R169" s="19">
        <f t="shared" si="8"/>
        <v>0</v>
      </c>
    </row>
    <row r="170" spans="16:18" ht="15" customHeight="1" x14ac:dyDescent="0.3">
      <c r="P170" s="18">
        <f t="shared" si="7"/>
        <v>0</v>
      </c>
      <c r="R170" s="19">
        <f t="shared" si="8"/>
        <v>0</v>
      </c>
    </row>
    <row r="171" spans="16:18" ht="15" customHeight="1" x14ac:dyDescent="0.3">
      <c r="P171" s="18">
        <f t="shared" si="7"/>
        <v>0</v>
      </c>
      <c r="R171" s="19">
        <f t="shared" si="8"/>
        <v>0</v>
      </c>
    </row>
    <row r="172" spans="16:18" ht="15" customHeight="1" x14ac:dyDescent="0.3">
      <c r="P172" s="18">
        <f t="shared" si="7"/>
        <v>0</v>
      </c>
      <c r="R172" s="19">
        <f t="shared" si="8"/>
        <v>0</v>
      </c>
    </row>
    <row r="173" spans="16:18" ht="15" customHeight="1" x14ac:dyDescent="0.3">
      <c r="P173" s="18">
        <f t="shared" si="7"/>
        <v>0</v>
      </c>
      <c r="R173" s="19">
        <f t="shared" si="8"/>
        <v>0</v>
      </c>
    </row>
    <row r="174" spans="16:18" ht="15" customHeight="1" x14ac:dyDescent="0.3">
      <c r="P174" s="18">
        <f t="shared" si="7"/>
        <v>0</v>
      </c>
      <c r="R174" s="19">
        <f t="shared" si="8"/>
        <v>0</v>
      </c>
    </row>
    <row r="175" spans="16:18" ht="15" customHeight="1" x14ac:dyDescent="0.3">
      <c r="P175" s="18">
        <f t="shared" si="7"/>
        <v>0</v>
      </c>
      <c r="R175" s="19">
        <f t="shared" si="8"/>
        <v>0</v>
      </c>
    </row>
    <row r="176" spans="16:18" ht="15" customHeight="1" x14ac:dyDescent="0.3">
      <c r="P176" s="18">
        <f t="shared" si="7"/>
        <v>0</v>
      </c>
      <c r="R176" s="19">
        <f t="shared" si="8"/>
        <v>0</v>
      </c>
    </row>
    <row r="177" spans="16:18" ht="15" customHeight="1" x14ac:dyDescent="0.3">
      <c r="P177" s="18">
        <f t="shared" si="7"/>
        <v>0</v>
      </c>
      <c r="R177" s="19">
        <f t="shared" si="8"/>
        <v>0</v>
      </c>
    </row>
    <row r="178" spans="16:18" ht="15" customHeight="1" x14ac:dyDescent="0.3">
      <c r="P178" s="18">
        <f t="shared" si="7"/>
        <v>0</v>
      </c>
      <c r="R178" s="19">
        <f t="shared" si="8"/>
        <v>0</v>
      </c>
    </row>
    <row r="179" spans="16:18" ht="15" customHeight="1" x14ac:dyDescent="0.3">
      <c r="P179" s="18">
        <f t="shared" si="7"/>
        <v>0</v>
      </c>
      <c r="R179" s="19">
        <f t="shared" si="8"/>
        <v>0</v>
      </c>
    </row>
    <row r="180" spans="16:18" ht="15" customHeight="1" x14ac:dyDescent="0.3">
      <c r="P180" s="18">
        <f t="shared" si="7"/>
        <v>0</v>
      </c>
      <c r="R180" s="19">
        <f t="shared" si="8"/>
        <v>0</v>
      </c>
    </row>
    <row r="181" spans="16:18" ht="15" customHeight="1" x14ac:dyDescent="0.3">
      <c r="P181" s="18">
        <f t="shared" si="7"/>
        <v>0</v>
      </c>
      <c r="R181" s="19">
        <f t="shared" si="8"/>
        <v>0</v>
      </c>
    </row>
    <row r="182" spans="16:18" ht="15" customHeight="1" x14ac:dyDescent="0.3">
      <c r="P182" s="18">
        <f t="shared" si="7"/>
        <v>0</v>
      </c>
      <c r="R182" s="19">
        <f t="shared" si="8"/>
        <v>0</v>
      </c>
    </row>
    <row r="183" spans="16:18" ht="15" customHeight="1" x14ac:dyDescent="0.3">
      <c r="P183" s="18">
        <f t="shared" si="7"/>
        <v>0</v>
      </c>
      <c r="R183" s="19">
        <f t="shared" si="8"/>
        <v>0</v>
      </c>
    </row>
    <row r="184" spans="16:18" ht="15" customHeight="1" x14ac:dyDescent="0.3">
      <c r="P184" s="18">
        <f t="shared" si="7"/>
        <v>0</v>
      </c>
      <c r="R184" s="19">
        <f t="shared" si="8"/>
        <v>0</v>
      </c>
    </row>
    <row r="185" spans="16:18" ht="15" customHeight="1" x14ac:dyDescent="0.3">
      <c r="P185" s="18">
        <f t="shared" si="7"/>
        <v>0</v>
      </c>
      <c r="R185" s="19">
        <f t="shared" si="8"/>
        <v>0</v>
      </c>
    </row>
    <row r="186" spans="16:18" ht="15" customHeight="1" x14ac:dyDescent="0.3">
      <c r="P186" s="18">
        <f t="shared" si="7"/>
        <v>0</v>
      </c>
      <c r="R186" s="19">
        <f t="shared" si="8"/>
        <v>0</v>
      </c>
    </row>
    <row r="187" spans="16:18" ht="15" customHeight="1" x14ac:dyDescent="0.3">
      <c r="P187" s="18">
        <f t="shared" si="7"/>
        <v>0</v>
      </c>
      <c r="R187" s="19">
        <f t="shared" si="8"/>
        <v>0</v>
      </c>
    </row>
    <row r="188" spans="16:18" ht="15" customHeight="1" x14ac:dyDescent="0.3">
      <c r="P188" s="18">
        <f t="shared" si="7"/>
        <v>0</v>
      </c>
      <c r="R188" s="19">
        <f t="shared" si="8"/>
        <v>0</v>
      </c>
    </row>
    <row r="189" spans="16:18" ht="15" customHeight="1" x14ac:dyDescent="0.3">
      <c r="P189" s="18">
        <f t="shared" si="7"/>
        <v>0</v>
      </c>
      <c r="R189" s="19">
        <f t="shared" si="8"/>
        <v>0</v>
      </c>
    </row>
    <row r="190" spans="16:18" ht="15" customHeight="1" x14ac:dyDescent="0.3">
      <c r="P190" s="18">
        <f t="shared" si="7"/>
        <v>0</v>
      </c>
      <c r="R190" s="19">
        <f t="shared" si="8"/>
        <v>0</v>
      </c>
    </row>
    <row r="191" spans="16:18" ht="15" customHeight="1" x14ac:dyDescent="0.3">
      <c r="P191" s="18">
        <f t="shared" si="7"/>
        <v>0</v>
      </c>
      <c r="R191" s="19">
        <f t="shared" si="8"/>
        <v>0</v>
      </c>
    </row>
    <row r="192" spans="16:18" ht="15" customHeight="1" x14ac:dyDescent="0.3">
      <c r="P192" s="18">
        <f t="shared" si="7"/>
        <v>0</v>
      </c>
      <c r="R192" s="19">
        <f t="shared" si="8"/>
        <v>0</v>
      </c>
    </row>
    <row r="193" spans="16:18" ht="15" customHeight="1" x14ac:dyDescent="0.3">
      <c r="P193" s="18">
        <f t="shared" si="7"/>
        <v>0</v>
      </c>
      <c r="R193" s="19">
        <f t="shared" si="8"/>
        <v>0</v>
      </c>
    </row>
    <row r="194" spans="16:18" ht="15" customHeight="1" x14ac:dyDescent="0.3">
      <c r="P194" s="18">
        <f t="shared" si="7"/>
        <v>0</v>
      </c>
      <c r="R194" s="19">
        <f t="shared" si="8"/>
        <v>0</v>
      </c>
    </row>
    <row r="195" spans="16:18" ht="15" customHeight="1" x14ac:dyDescent="0.3">
      <c r="P195" s="18">
        <f t="shared" si="7"/>
        <v>0</v>
      </c>
      <c r="R195" s="19">
        <f t="shared" si="8"/>
        <v>0</v>
      </c>
    </row>
    <row r="196" spans="16:18" ht="15" customHeight="1" x14ac:dyDescent="0.3">
      <c r="P196" s="18">
        <f t="shared" ref="P196:P233" si="9">IF(OR(A196="D",A196="M"),0,MAX(O196-N196,0))</f>
        <v>0</v>
      </c>
      <c r="R196" s="19">
        <f t="shared" ref="R196:R233" si="10">H196*I196</f>
        <v>0</v>
      </c>
    </row>
    <row r="197" spans="16:18" ht="15" customHeight="1" x14ac:dyDescent="0.3">
      <c r="P197" s="18">
        <f t="shared" si="9"/>
        <v>0</v>
      </c>
      <c r="R197" s="19">
        <f t="shared" si="10"/>
        <v>0</v>
      </c>
    </row>
    <row r="198" spans="16:18" ht="15" customHeight="1" x14ac:dyDescent="0.3">
      <c r="P198" s="18">
        <f t="shared" si="9"/>
        <v>0</v>
      </c>
      <c r="R198" s="19">
        <f t="shared" si="10"/>
        <v>0</v>
      </c>
    </row>
    <row r="199" spans="16:18" ht="15" customHeight="1" x14ac:dyDescent="0.3">
      <c r="P199" s="18">
        <f t="shared" si="9"/>
        <v>0</v>
      </c>
      <c r="R199" s="19">
        <f t="shared" si="10"/>
        <v>0</v>
      </c>
    </row>
    <row r="200" spans="16:18" ht="15" customHeight="1" x14ac:dyDescent="0.3">
      <c r="P200" s="18">
        <f t="shared" si="9"/>
        <v>0</v>
      </c>
      <c r="R200" s="19">
        <f t="shared" si="10"/>
        <v>0</v>
      </c>
    </row>
    <row r="201" spans="16:18" ht="15" customHeight="1" x14ac:dyDescent="0.3">
      <c r="P201" s="18">
        <f t="shared" si="9"/>
        <v>0</v>
      </c>
      <c r="R201" s="19">
        <f t="shared" si="10"/>
        <v>0</v>
      </c>
    </row>
    <row r="202" spans="16:18" ht="15" customHeight="1" x14ac:dyDescent="0.3">
      <c r="P202" s="18">
        <f t="shared" si="9"/>
        <v>0</v>
      </c>
      <c r="R202" s="19">
        <f t="shared" si="10"/>
        <v>0</v>
      </c>
    </row>
    <row r="203" spans="16:18" ht="15" customHeight="1" x14ac:dyDescent="0.3">
      <c r="P203" s="18">
        <f t="shared" si="9"/>
        <v>0</v>
      </c>
      <c r="R203" s="19">
        <f t="shared" si="10"/>
        <v>0</v>
      </c>
    </row>
    <row r="204" spans="16:18" ht="15" customHeight="1" x14ac:dyDescent="0.3">
      <c r="P204" s="18">
        <f t="shared" si="9"/>
        <v>0</v>
      </c>
      <c r="R204" s="19">
        <f t="shared" si="10"/>
        <v>0</v>
      </c>
    </row>
    <row r="205" spans="16:18" ht="15" customHeight="1" x14ac:dyDescent="0.3">
      <c r="P205" s="18">
        <f t="shared" si="9"/>
        <v>0</v>
      </c>
      <c r="R205" s="19">
        <f t="shared" si="10"/>
        <v>0</v>
      </c>
    </row>
    <row r="206" spans="16:18" ht="15" customHeight="1" x14ac:dyDescent="0.3">
      <c r="P206" s="18">
        <f t="shared" si="9"/>
        <v>0</v>
      </c>
      <c r="R206" s="19">
        <f t="shared" si="10"/>
        <v>0</v>
      </c>
    </row>
    <row r="207" spans="16:18" ht="15" customHeight="1" x14ac:dyDescent="0.3">
      <c r="P207" s="18">
        <f t="shared" si="9"/>
        <v>0</v>
      </c>
      <c r="R207" s="19">
        <f t="shared" si="10"/>
        <v>0</v>
      </c>
    </row>
    <row r="208" spans="16:18" ht="15" customHeight="1" x14ac:dyDescent="0.3">
      <c r="P208" s="18">
        <f t="shared" si="9"/>
        <v>0</v>
      </c>
      <c r="R208" s="19">
        <f t="shared" si="10"/>
        <v>0</v>
      </c>
    </row>
    <row r="209" spans="16:18" ht="15" customHeight="1" x14ac:dyDescent="0.3">
      <c r="P209" s="18">
        <f t="shared" si="9"/>
        <v>0</v>
      </c>
      <c r="R209" s="19">
        <f t="shared" si="10"/>
        <v>0</v>
      </c>
    </row>
    <row r="210" spans="16:18" ht="15" customHeight="1" x14ac:dyDescent="0.3">
      <c r="P210" s="18">
        <f t="shared" si="9"/>
        <v>0</v>
      </c>
      <c r="R210" s="19">
        <f t="shared" si="10"/>
        <v>0</v>
      </c>
    </row>
    <row r="211" spans="16:18" ht="15" customHeight="1" x14ac:dyDescent="0.3">
      <c r="P211" s="18">
        <f t="shared" si="9"/>
        <v>0</v>
      </c>
      <c r="R211" s="19">
        <f t="shared" si="10"/>
        <v>0</v>
      </c>
    </row>
    <row r="212" spans="16:18" ht="15" customHeight="1" x14ac:dyDescent="0.3">
      <c r="P212" s="18">
        <f t="shared" si="9"/>
        <v>0</v>
      </c>
      <c r="R212" s="19">
        <f t="shared" si="10"/>
        <v>0</v>
      </c>
    </row>
    <row r="213" spans="16:18" ht="15" customHeight="1" x14ac:dyDescent="0.3">
      <c r="P213" s="18">
        <f t="shared" si="9"/>
        <v>0</v>
      </c>
      <c r="R213" s="19">
        <f t="shared" si="10"/>
        <v>0</v>
      </c>
    </row>
    <row r="214" spans="16:18" ht="15" customHeight="1" x14ac:dyDescent="0.3">
      <c r="P214" s="18">
        <f t="shared" si="9"/>
        <v>0</v>
      </c>
      <c r="R214" s="19">
        <f t="shared" si="10"/>
        <v>0</v>
      </c>
    </row>
    <row r="215" spans="16:18" ht="15" customHeight="1" x14ac:dyDescent="0.3">
      <c r="P215" s="18">
        <f t="shared" si="9"/>
        <v>0</v>
      </c>
      <c r="R215" s="19">
        <f t="shared" si="10"/>
        <v>0</v>
      </c>
    </row>
    <row r="216" spans="16:18" ht="15" customHeight="1" x14ac:dyDescent="0.3">
      <c r="P216" s="18">
        <f t="shared" si="9"/>
        <v>0</v>
      </c>
      <c r="R216" s="19">
        <f t="shared" si="10"/>
        <v>0</v>
      </c>
    </row>
    <row r="217" spans="16:18" ht="15" customHeight="1" x14ac:dyDescent="0.3">
      <c r="P217" s="18">
        <f t="shared" si="9"/>
        <v>0</v>
      </c>
      <c r="R217" s="19">
        <f t="shared" si="10"/>
        <v>0</v>
      </c>
    </row>
    <row r="218" spans="16:18" ht="15" customHeight="1" x14ac:dyDescent="0.3">
      <c r="P218" s="18">
        <f t="shared" si="9"/>
        <v>0</v>
      </c>
      <c r="R218" s="19">
        <f t="shared" si="10"/>
        <v>0</v>
      </c>
    </row>
    <row r="219" spans="16:18" ht="15" customHeight="1" x14ac:dyDescent="0.3">
      <c r="P219" s="18">
        <f t="shared" si="9"/>
        <v>0</v>
      </c>
      <c r="R219" s="19">
        <f t="shared" si="10"/>
        <v>0</v>
      </c>
    </row>
    <row r="220" spans="16:18" ht="15" customHeight="1" x14ac:dyDescent="0.3">
      <c r="P220" s="18">
        <f t="shared" si="9"/>
        <v>0</v>
      </c>
      <c r="R220" s="19">
        <f t="shared" si="10"/>
        <v>0</v>
      </c>
    </row>
    <row r="221" spans="16:18" ht="15" customHeight="1" x14ac:dyDescent="0.3">
      <c r="P221" s="18">
        <f t="shared" si="9"/>
        <v>0</v>
      </c>
      <c r="R221" s="19">
        <f t="shared" si="10"/>
        <v>0</v>
      </c>
    </row>
    <row r="222" spans="16:18" ht="15" customHeight="1" x14ac:dyDescent="0.3">
      <c r="P222" s="18">
        <f t="shared" si="9"/>
        <v>0</v>
      </c>
      <c r="R222" s="19">
        <f t="shared" si="10"/>
        <v>0</v>
      </c>
    </row>
    <row r="223" spans="16:18" ht="15" customHeight="1" x14ac:dyDescent="0.3">
      <c r="P223" s="18">
        <f t="shared" si="9"/>
        <v>0</v>
      </c>
      <c r="R223" s="19">
        <f t="shared" si="10"/>
        <v>0</v>
      </c>
    </row>
    <row r="224" spans="16:18" ht="15" customHeight="1" x14ac:dyDescent="0.3">
      <c r="P224" s="18">
        <f t="shared" si="9"/>
        <v>0</v>
      </c>
      <c r="R224" s="19">
        <f t="shared" si="10"/>
        <v>0</v>
      </c>
    </row>
    <row r="225" spans="16:18" ht="15" customHeight="1" x14ac:dyDescent="0.3">
      <c r="P225" s="18">
        <f t="shared" si="9"/>
        <v>0</v>
      </c>
      <c r="R225" s="19">
        <f t="shared" si="10"/>
        <v>0</v>
      </c>
    </row>
    <row r="226" spans="16:18" ht="15" customHeight="1" x14ac:dyDescent="0.3">
      <c r="P226" s="18">
        <f t="shared" si="9"/>
        <v>0</v>
      </c>
      <c r="R226" s="19">
        <f t="shared" si="10"/>
        <v>0</v>
      </c>
    </row>
    <row r="227" spans="16:18" ht="15" customHeight="1" x14ac:dyDescent="0.3">
      <c r="P227" s="18">
        <f t="shared" si="9"/>
        <v>0</v>
      </c>
      <c r="R227" s="19">
        <f t="shared" si="10"/>
        <v>0</v>
      </c>
    </row>
    <row r="228" spans="16:18" ht="15" customHeight="1" x14ac:dyDescent="0.3">
      <c r="P228" s="18">
        <f t="shared" si="9"/>
        <v>0</v>
      </c>
      <c r="R228" s="19">
        <f t="shared" si="10"/>
        <v>0</v>
      </c>
    </row>
    <row r="229" spans="16:18" ht="15" customHeight="1" x14ac:dyDescent="0.3">
      <c r="P229" s="18">
        <f t="shared" si="9"/>
        <v>0</v>
      </c>
      <c r="R229" s="19">
        <f t="shared" si="10"/>
        <v>0</v>
      </c>
    </row>
    <row r="230" spans="16:18" ht="15" customHeight="1" x14ac:dyDescent="0.3">
      <c r="P230" s="18">
        <f t="shared" si="9"/>
        <v>0</v>
      </c>
      <c r="R230" s="19">
        <f t="shared" si="10"/>
        <v>0</v>
      </c>
    </row>
    <row r="231" spans="16:18" ht="15" customHeight="1" x14ac:dyDescent="0.3">
      <c r="P231" s="18">
        <f t="shared" si="9"/>
        <v>0</v>
      </c>
      <c r="R231" s="19">
        <f t="shared" si="10"/>
        <v>0</v>
      </c>
    </row>
    <row r="232" spans="16:18" ht="15" customHeight="1" x14ac:dyDescent="0.3">
      <c r="P232" s="18">
        <f t="shared" si="9"/>
        <v>0</v>
      </c>
      <c r="R232" s="19">
        <f t="shared" si="10"/>
        <v>0</v>
      </c>
    </row>
    <row r="233" spans="16:18" ht="15" customHeight="1" x14ac:dyDescent="0.3">
      <c r="P233" s="18">
        <f t="shared" si="9"/>
        <v>0</v>
      </c>
      <c r="R233" s="19">
        <f t="shared" si="10"/>
        <v>0</v>
      </c>
    </row>
  </sheetData>
  <autoFilter ref="A1:R2" xr:uid="{2A87662A-DFCE-4876-9C60-B906DAE45727}"/>
  <pageMargins left="0.7" right="0.7" top="0.75" bottom="0.75" header="0" footer="0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40AD7-B31E-4062-8D72-F975D77DB6BA}">
  <dimension ref="A1:K33"/>
  <sheetViews>
    <sheetView zoomScale="68" workbookViewId="0">
      <selection activeCell="A5" sqref="A5"/>
    </sheetView>
  </sheetViews>
  <sheetFormatPr defaultColWidth="10.77734375" defaultRowHeight="14.4" x14ac:dyDescent="0.3"/>
  <cols>
    <col min="1" max="1" width="34.77734375" bestFit="1" customWidth="1"/>
    <col min="2" max="2" width="40.44140625" customWidth="1"/>
    <col min="3" max="3" width="66.33203125" bestFit="1" customWidth="1"/>
    <col min="4" max="4" width="10" bestFit="1" customWidth="1"/>
    <col min="5" max="5" width="4.109375" bestFit="1" customWidth="1"/>
    <col min="6" max="6" width="6.88671875" bestFit="1" customWidth="1"/>
    <col min="7" max="7" width="4.33203125" bestFit="1" customWidth="1"/>
    <col min="8" max="8" width="4.109375" bestFit="1" customWidth="1"/>
    <col min="9" max="9" width="4.88671875" bestFit="1" customWidth="1"/>
    <col min="10" max="10" width="3.5546875" bestFit="1" customWidth="1"/>
    <col min="11" max="11" width="4.21875" bestFit="1" customWidth="1"/>
  </cols>
  <sheetData>
    <row r="1" spans="1:11" x14ac:dyDescent="0.3">
      <c r="A1" s="20" t="s">
        <v>36</v>
      </c>
      <c r="D1" s="20" t="s">
        <v>0</v>
      </c>
    </row>
    <row r="2" spans="1:11" x14ac:dyDescent="0.3">
      <c r="A2" s="20" t="s">
        <v>4</v>
      </c>
      <c r="B2" s="20" t="s">
        <v>5</v>
      </c>
      <c r="C2" s="20" t="s">
        <v>6</v>
      </c>
      <c r="D2" t="s">
        <v>12</v>
      </c>
      <c r="E2" t="s">
        <v>35</v>
      </c>
      <c r="F2" t="s">
        <v>37</v>
      </c>
      <c r="G2" t="s">
        <v>64</v>
      </c>
      <c r="H2" t="s">
        <v>67</v>
      </c>
      <c r="I2" t="s">
        <v>65</v>
      </c>
      <c r="J2" t="s">
        <v>70</v>
      </c>
      <c r="K2" t="s">
        <v>48</v>
      </c>
    </row>
    <row r="3" spans="1:11" x14ac:dyDescent="0.3">
      <c r="A3" t="s">
        <v>13</v>
      </c>
      <c r="B3" t="s">
        <v>38</v>
      </c>
      <c r="C3" t="s">
        <v>39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</row>
    <row r="4" spans="1:11" x14ac:dyDescent="0.3">
      <c r="A4" t="s">
        <v>13</v>
      </c>
      <c r="B4" t="s">
        <v>38</v>
      </c>
      <c r="C4" t="s">
        <v>68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</row>
    <row r="5" spans="1:11" x14ac:dyDescent="0.3">
      <c r="A5" t="s">
        <v>13</v>
      </c>
      <c r="B5" t="s">
        <v>38</v>
      </c>
      <c r="C5" t="s">
        <v>40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</row>
    <row r="6" spans="1:11" x14ac:dyDescent="0.3">
      <c r="A6" t="s">
        <v>13</v>
      </c>
      <c r="B6" t="s">
        <v>41</v>
      </c>
      <c r="C6" t="s">
        <v>52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</row>
    <row r="7" spans="1:11" x14ac:dyDescent="0.3">
      <c r="A7" t="s">
        <v>13</v>
      </c>
      <c r="B7" t="s">
        <v>41</v>
      </c>
      <c r="C7" t="s">
        <v>50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</row>
    <row r="8" spans="1:11" x14ac:dyDescent="0.3">
      <c r="A8" t="s">
        <v>13</v>
      </c>
      <c r="B8" t="s">
        <v>42</v>
      </c>
      <c r="C8" t="s">
        <v>53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</row>
    <row r="9" spans="1:11" x14ac:dyDescent="0.3">
      <c r="A9" t="s">
        <v>13</v>
      </c>
      <c r="B9" t="s">
        <v>42</v>
      </c>
      <c r="C9" t="s">
        <v>54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</row>
    <row r="10" spans="1:11" x14ac:dyDescent="0.3">
      <c r="A10" t="s">
        <v>13</v>
      </c>
      <c r="B10" t="s">
        <v>42</v>
      </c>
      <c r="C10" t="s">
        <v>69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</row>
    <row r="11" spans="1:11" x14ac:dyDescent="0.3">
      <c r="A11" t="s">
        <v>13</v>
      </c>
      <c r="B11" t="s">
        <v>43</v>
      </c>
      <c r="C11" t="s">
        <v>69</v>
      </c>
      <c r="D11" s="21">
        <v>0</v>
      </c>
      <c r="E11" s="21">
        <v>0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</row>
    <row r="12" spans="1:11" x14ac:dyDescent="0.3">
      <c r="A12" t="s">
        <v>13</v>
      </c>
      <c r="B12" t="s">
        <v>43</v>
      </c>
      <c r="C12" t="s">
        <v>55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</row>
    <row r="13" spans="1:11" x14ac:dyDescent="0.3">
      <c r="A13" t="s">
        <v>13</v>
      </c>
      <c r="B13" t="s">
        <v>44</v>
      </c>
      <c r="C13" t="s">
        <v>69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</row>
    <row r="14" spans="1:11" x14ac:dyDescent="0.3">
      <c r="A14" t="s">
        <v>13</v>
      </c>
      <c r="B14" t="s">
        <v>44</v>
      </c>
      <c r="C14" t="s">
        <v>56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</row>
    <row r="15" spans="1:11" x14ac:dyDescent="0.3">
      <c r="A15" t="s">
        <v>13</v>
      </c>
      <c r="B15" t="s">
        <v>44</v>
      </c>
      <c r="C15" t="s">
        <v>57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</row>
    <row r="16" spans="1:11" x14ac:dyDescent="0.3">
      <c r="A16" t="s">
        <v>13</v>
      </c>
      <c r="B16" t="s">
        <v>45</v>
      </c>
      <c r="C16" t="s">
        <v>69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</row>
    <row r="17" spans="1:11" x14ac:dyDescent="0.3">
      <c r="A17" t="s">
        <v>13</v>
      </c>
      <c r="B17" t="s">
        <v>45</v>
      </c>
      <c r="C17" t="s">
        <v>58</v>
      </c>
      <c r="D17" s="21">
        <v>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</row>
    <row r="18" spans="1:11" x14ac:dyDescent="0.3">
      <c r="A18" t="s">
        <v>13</v>
      </c>
      <c r="B18" t="s">
        <v>45</v>
      </c>
      <c r="C18" t="s">
        <v>59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</row>
    <row r="19" spans="1:11" x14ac:dyDescent="0.3">
      <c r="A19" t="s">
        <v>13</v>
      </c>
      <c r="B19" t="s">
        <v>46</v>
      </c>
      <c r="C19" t="s">
        <v>69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</row>
    <row r="20" spans="1:11" x14ac:dyDescent="0.3">
      <c r="A20" t="s">
        <v>13</v>
      </c>
      <c r="B20" t="s">
        <v>46</v>
      </c>
      <c r="C20" t="s">
        <v>60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</row>
    <row r="21" spans="1:11" x14ac:dyDescent="0.3">
      <c r="A21" t="s">
        <v>13</v>
      </c>
      <c r="B21" t="s">
        <v>46</v>
      </c>
      <c r="C21" t="s">
        <v>71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</row>
    <row r="22" spans="1:11" x14ac:dyDescent="0.3">
      <c r="A22" t="s">
        <v>13</v>
      </c>
      <c r="B22" t="s">
        <v>46</v>
      </c>
      <c r="C22" t="s">
        <v>72</v>
      </c>
      <c r="D22" s="21">
        <v>0</v>
      </c>
      <c r="E22" s="21">
        <v>0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</row>
    <row r="23" spans="1:11" x14ac:dyDescent="0.3">
      <c r="A23" t="s">
        <v>47</v>
      </c>
      <c r="B23" t="s">
        <v>43</v>
      </c>
      <c r="C23" t="s">
        <v>69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</row>
    <row r="24" spans="1:11" x14ac:dyDescent="0.3">
      <c r="A24" t="s">
        <v>47</v>
      </c>
      <c r="B24" t="s">
        <v>43</v>
      </c>
      <c r="C24" t="s">
        <v>61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</row>
    <row r="25" spans="1:11" x14ac:dyDescent="0.3">
      <c r="A25" t="s">
        <v>47</v>
      </c>
      <c r="B25" t="s">
        <v>44</v>
      </c>
      <c r="C25" t="s">
        <v>69</v>
      </c>
      <c r="D25" s="21">
        <v>0</v>
      </c>
      <c r="E25" s="21">
        <v>0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</row>
    <row r="26" spans="1:11" x14ac:dyDescent="0.3">
      <c r="A26" t="s">
        <v>47</v>
      </c>
      <c r="B26" t="s">
        <v>44</v>
      </c>
      <c r="C26" t="s">
        <v>62</v>
      </c>
      <c r="D26" s="21">
        <v>0</v>
      </c>
      <c r="E26" s="21">
        <v>0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</row>
    <row r="27" spans="1:11" x14ac:dyDescent="0.3">
      <c r="A27" t="s">
        <v>47</v>
      </c>
      <c r="B27" t="s">
        <v>46</v>
      </c>
      <c r="C27" t="s">
        <v>69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</row>
    <row r="28" spans="1:11" x14ac:dyDescent="0.3">
      <c r="A28" t="s">
        <v>47</v>
      </c>
      <c r="B28" t="s">
        <v>46</v>
      </c>
      <c r="C28" t="s">
        <v>60</v>
      </c>
      <c r="D28" s="21">
        <v>0</v>
      </c>
      <c r="E28" s="21">
        <v>0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</row>
    <row r="29" spans="1:11" x14ac:dyDescent="0.3">
      <c r="A29" t="s">
        <v>47</v>
      </c>
      <c r="B29" t="s">
        <v>46</v>
      </c>
      <c r="C29" t="s">
        <v>74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</row>
    <row r="30" spans="1:11" x14ac:dyDescent="0.3">
      <c r="A30" t="s">
        <v>47</v>
      </c>
      <c r="B30" t="s">
        <v>46</v>
      </c>
      <c r="C30" t="s">
        <v>75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</row>
    <row r="31" spans="1:11" x14ac:dyDescent="0.3">
      <c r="A31" t="s">
        <v>48</v>
      </c>
      <c r="B31" t="s">
        <v>48</v>
      </c>
      <c r="C31" t="s">
        <v>48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</row>
    <row r="32" spans="1:11" x14ac:dyDescent="0.3">
      <c r="A32" t="s">
        <v>49</v>
      </c>
      <c r="B32" t="s">
        <v>49</v>
      </c>
      <c r="C32" t="s">
        <v>49</v>
      </c>
      <c r="D32" s="21">
        <v>0</v>
      </c>
      <c r="E32" s="21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</row>
    <row r="33" spans="1:11" x14ac:dyDescent="0.3">
      <c r="A33" t="s">
        <v>51</v>
      </c>
      <c r="B33" t="s">
        <v>51</v>
      </c>
      <c r="C33" t="s">
        <v>51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E839CF-B8BA-4975-B8C7-D0C7A7F54293}">
  <ds:schemaRefs>
    <ds:schemaRef ds:uri="http://schemas.microsoft.com/office/2006/documentManagement/types"/>
    <ds:schemaRef ds:uri="f222903d-8679-43da-9a9c-620ddc805fc2"/>
    <ds:schemaRef ds:uri="353cd2e2-1c11-4b5c-bfac-90f4034b3f06"/>
    <ds:schemaRef ds:uri="http://www.w3.org/XML/1998/namespace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7caceaca-20ef-42d2-b1d4-1dae242b6e79"/>
    <ds:schemaRef ds:uri="http://schemas.openxmlformats.org/package/2006/metadata/core-properties"/>
    <ds:schemaRef ds:uri="c99eb337-000b-4878-a4ff-8330c82a1935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A8FD04A-8ED4-4DDF-92D0-66C92BC94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cd2e2-1c11-4b5c-bfac-90f4034b3f06"/>
    <ds:schemaRef ds:uri="c99eb337-000b-4878-a4ff-8330c82a1935"/>
    <ds:schemaRef ds:uri="f222903d-8679-43da-9a9c-620ddc805fc2"/>
    <ds:schemaRef ds:uri="7caceaca-20ef-42d2-b1d4-1dae242b6e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1F8EB6-BBC2-42B4-82C8-C746EBAC10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Dettagli</vt:lpstr>
      <vt:lpstr>Pivot per monitoraggio</vt:lpstr>
    </vt:vector>
  </TitlesOfParts>
  <Manager/>
  <Company>TXT e-solutions S.p.A.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Saiani</dc:creator>
  <cp:keywords/>
  <dc:description/>
  <cp:lastModifiedBy>Serena Benizzi</cp:lastModifiedBy>
  <cp:revision/>
  <dcterms:created xsi:type="dcterms:W3CDTF">2026-03-25T08:08:20Z</dcterms:created>
  <dcterms:modified xsi:type="dcterms:W3CDTF">2026-06-26T12:03:50Z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0x01010021F8C1811CFC2849BB075804AB038327</vt:lpwstr>
  </property>
  <property fmtid="{D5CDD505-2E9C-101B-9397-08002B2CF9AE}" pid="3" name="MediaServiceImageTags">
    <vt:lpwstr/>
  </property>
</Properties>
</file>