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Organizzazione/TXT Novigo - CDG/Dati gestionali (PQ e report)/Review Processi CDG/"/>
    </mc:Choice>
  </mc:AlternateContent>
  <xr:revisionPtr revIDLastSave="15" documentId="13_ncr:1_{C1AA6A32-CF2C-446D-8B1C-F50751672119}" xr6:coauthVersionLast="47" xr6:coauthVersionMax="47" xr10:uidLastSave="{46ACE125-784C-465A-B673-54F62CEB324E}"/>
  <bookViews>
    <workbookView xWindow="-108" yWindow="-108" windowWidth="23256" windowHeight="13896" firstSheet="2" activeTab="2" xr2:uid="{CCCEF7F6-4F96-445C-A02B-409B05DD9682}"/>
  </bookViews>
  <sheets>
    <sheet name="01_Milestone_Deliverables" sheetId="7" r:id="rId1"/>
    <sheet name="02_Dependencies" sheetId="14" r:id="rId2"/>
    <sheet name="03_Project_Plan" sheetId="21" r:id="rId3"/>
    <sheet name="04_Forecast" sheetId="22" r:id="rId4"/>
    <sheet name="05_Risk_Assessment" sheetId="6" r:id="rId5"/>
    <sheet name="Totali per area" sheetId="24" r:id="rId6"/>
  </sheets>
  <definedNames>
    <definedName name="_xlnm._FilterDatabase" localSheetId="0" hidden="1">'01_Milestone_Deliverables'!$A$1:$C$1</definedName>
    <definedName name="_xlnm._FilterDatabase" localSheetId="2" hidden="1">'03_Project_Plan'!$B$1:$K$55</definedName>
    <definedName name="Actual">(PeriodInActual*(#REF!&gt;0))*PeriodInPlan</definedName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</definedNames>
  <calcPr calcId="191029" concurrentManualCount="12"/>
  <pivotCaches>
    <pivotCache cacheId="17" r:id="rId7"/>
    <pivotCache cacheId="1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4" l="1"/>
  <c r="N5" i="24"/>
  <c r="M5" i="24"/>
  <c r="A17" i="24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2" i="2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2" i="21"/>
  <c r="A3" i="21"/>
  <c r="F14" i="24"/>
  <c r="D9" i="22" l="1"/>
  <c r="J4" i="6"/>
  <c r="H13" i="6"/>
  <c r="D33" i="22"/>
  <c r="D21" i="22"/>
  <c r="D12" i="22"/>
  <c r="A4" i="21"/>
  <c r="F24" i="22"/>
  <c r="G24" i="22"/>
  <c r="E24" i="22"/>
  <c r="K24" i="22"/>
  <c r="K23" i="22"/>
  <c r="K22" i="22"/>
  <c r="E23" i="22"/>
  <c r="H33" i="22"/>
  <c r="G33" i="22"/>
  <c r="D18" i="22"/>
  <c r="K33" i="22"/>
  <c r="J33" i="22"/>
  <c r="I33" i="22"/>
  <c r="F33" i="22"/>
  <c r="E33" i="22"/>
  <c r="L33" i="22" l="1"/>
  <c r="J6" i="6" l="1"/>
  <c r="J7" i="6"/>
  <c r="J8" i="6"/>
  <c r="J9" i="6"/>
  <c r="J10" i="6"/>
  <c r="J5" i="6"/>
  <c r="J13" i="6"/>
  <c r="J27" i="22" l="1"/>
  <c r="K27" i="22"/>
  <c r="D27" i="22"/>
  <c r="E27" i="22"/>
  <c r="I27" i="22"/>
  <c r="H27" i="22"/>
  <c r="F27" i="22"/>
  <c r="G27" i="22"/>
  <c r="A5" i="6"/>
  <c r="A6" i="6" s="1"/>
  <c r="A7" i="6" s="1"/>
  <c r="A8" i="6" s="1"/>
  <c r="A9" i="6" s="1"/>
  <c r="A10" i="6" s="1"/>
  <c r="G10" i="6"/>
  <c r="L27" i="22" l="1"/>
  <c r="G8" i="6"/>
  <c r="G9" i="6"/>
  <c r="G5" i="6"/>
  <c r="G6" i="6"/>
  <c r="G7" i="6"/>
  <c r="G4" i="6"/>
  <c r="J24" i="22" l="1"/>
  <c r="I24" i="22"/>
  <c r="H24" i="22"/>
  <c r="E21" i="22"/>
  <c r="D24" i="22"/>
  <c r="N15" i="22"/>
  <c r="N14" i="22"/>
  <c r="N13" i="22"/>
  <c r="N12" i="22"/>
  <c r="K14" i="22"/>
  <c r="J14" i="22"/>
  <c r="J23" i="22" s="1"/>
  <c r="I14" i="22"/>
  <c r="I23" i="22" s="1"/>
  <c r="H14" i="22"/>
  <c r="H23" i="22" s="1"/>
  <c r="G14" i="22"/>
  <c r="G23" i="22" s="1"/>
  <c r="F14" i="22"/>
  <c r="F23" i="22" s="1"/>
  <c r="E14" i="22"/>
  <c r="D14" i="22"/>
  <c r="D23" i="22" s="1"/>
  <c r="K13" i="22"/>
  <c r="J13" i="22"/>
  <c r="J22" i="22" s="1"/>
  <c r="I13" i="22"/>
  <c r="I22" i="22" s="1"/>
  <c r="H13" i="22"/>
  <c r="H22" i="22" s="1"/>
  <c r="G13" i="22"/>
  <c r="G22" i="22" s="1"/>
  <c r="F13" i="22"/>
  <c r="F22" i="22" s="1"/>
  <c r="E13" i="22"/>
  <c r="E22" i="22" s="1"/>
  <c r="D13" i="22"/>
  <c r="D22" i="22" s="1"/>
  <c r="K12" i="22"/>
  <c r="K21" i="22" s="1"/>
  <c r="J12" i="22"/>
  <c r="J21" i="22" s="1"/>
  <c r="I12" i="22"/>
  <c r="I21" i="22" s="1"/>
  <c r="H12" i="22"/>
  <c r="H21" i="22" s="1"/>
  <c r="G12" i="22"/>
  <c r="G21" i="22" s="1"/>
  <c r="F12" i="22"/>
  <c r="F21" i="22" s="1"/>
  <c r="E12" i="22"/>
  <c r="K9" i="22"/>
  <c r="J9" i="22"/>
  <c r="I9" i="22"/>
  <c r="H9" i="22"/>
  <c r="G9" i="22"/>
  <c r="F9" i="22"/>
  <c r="E9" i="22"/>
  <c r="L8" i="22"/>
  <c r="L7" i="22"/>
  <c r="L6" i="22"/>
  <c r="L5" i="22"/>
  <c r="D25" i="22" l="1"/>
  <c r="D32" i="22"/>
  <c r="D35" i="22" s="1"/>
  <c r="I25" i="22"/>
  <c r="I32" i="22" s="1"/>
  <c r="H25" i="22"/>
  <c r="H32" i="22" s="1"/>
  <c r="K25" i="22"/>
  <c r="K32" i="22" s="1"/>
  <c r="K35" i="22" s="1"/>
  <c r="G25" i="22"/>
  <c r="G32" i="22" s="1"/>
  <c r="J25" i="22"/>
  <c r="J32" i="22" s="1"/>
  <c r="F25" i="22"/>
  <c r="F32" i="22" s="1"/>
  <c r="E25" i="22"/>
  <c r="E32" i="22" s="1"/>
  <c r="E35" i="22" s="1"/>
  <c r="D16" i="22"/>
  <c r="L14" i="22"/>
  <c r="P14" i="22" s="1"/>
  <c r="L15" i="22"/>
  <c r="Q15" i="22" s="1"/>
  <c r="R15" i="22" s="1"/>
  <c r="S15" i="22" s="1"/>
  <c r="L12" i="22"/>
  <c r="P12" i="22" s="1"/>
  <c r="I16" i="22"/>
  <c r="I18" i="22" s="1"/>
  <c r="H16" i="22"/>
  <c r="H18" i="22" s="1"/>
  <c r="J16" i="22"/>
  <c r="J18" i="22" s="1"/>
  <c r="K16" i="22"/>
  <c r="K18" i="22" s="1"/>
  <c r="L13" i="22"/>
  <c r="Q13" i="22" s="1"/>
  <c r="R13" i="22" s="1"/>
  <c r="S13" i="22" s="1"/>
  <c r="F16" i="22"/>
  <c r="F18" i="22" s="1"/>
  <c r="E16" i="22"/>
  <c r="E18" i="22" s="1"/>
  <c r="G16" i="22"/>
  <c r="G18" i="22" s="1"/>
  <c r="G35" i="22" l="1"/>
  <c r="G34" i="22"/>
  <c r="L32" i="22"/>
  <c r="J34" i="22"/>
  <c r="J35" i="22"/>
  <c r="K34" i="22"/>
  <c r="F34" i="22"/>
  <c r="F35" i="22"/>
  <c r="I34" i="22"/>
  <c r="I35" i="22"/>
  <c r="E34" i="22"/>
  <c r="H35" i="22"/>
  <c r="H34" i="22"/>
  <c r="D34" i="22"/>
  <c r="L25" i="22"/>
  <c r="P15" i="22"/>
  <c r="Q14" i="22"/>
  <c r="R14" i="22" s="1"/>
  <c r="S14" i="22" s="1"/>
  <c r="P13" i="22"/>
  <c r="Q12" i="22"/>
  <c r="L16" i="22"/>
  <c r="P16" i="22"/>
  <c r="K36" i="22" l="1"/>
  <c r="G36" i="22"/>
  <c r="F36" i="22"/>
  <c r="E36" i="22"/>
  <c r="L34" i="22"/>
  <c r="L36" i="22" s="1"/>
  <c r="H36" i="22"/>
  <c r="J36" i="22"/>
  <c r="I36" i="22"/>
  <c r="D36" i="22"/>
  <c r="Q16" i="22"/>
  <c r="R12" i="22"/>
  <c r="R16" i="22" l="1"/>
  <c r="S12" i="22"/>
  <c r="S16" i="22" s="1"/>
  <c r="S18" i="22" l="1"/>
  <c r="A5" i="2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tc={CBBAFE7F-89D6-4450-99C9-08EB4917069D}</author>
  </authors>
  <commentList>
    <comment ref="F24" authorId="0" shapeId="0" xr:uid="{CBBAFE7F-89D6-4450-99C9-08EB4917069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+30.000 licenze</t>
      </text>
    </comment>
  </commentList>
</comments>
</file>

<file path=xl/sharedStrings.xml><?xml version="1.0" encoding="utf-8"?>
<sst xmlns="http://schemas.openxmlformats.org/spreadsheetml/2006/main" count="660" uniqueCount="346">
  <si>
    <t>No.</t>
  </si>
  <si>
    <t>Description</t>
  </si>
  <si>
    <t>Owner</t>
  </si>
  <si>
    <t>Description of Risk</t>
  </si>
  <si>
    <t>RR: resource risk
TR: time risk
BR: business / financial risk
QR: quality risk</t>
  </si>
  <si>
    <t>Impact</t>
  </si>
  <si>
    <t>Probability</t>
  </si>
  <si>
    <t>Risk Category</t>
  </si>
  <si>
    <t>Overall Risk Value</t>
  </si>
  <si>
    <t>How likely is the risk to occour?
1= low
5=high</t>
  </si>
  <si>
    <t>impact x probability
Attention on risks with value of 16 and above</t>
  </si>
  <si>
    <t>How big is the impact of the risk?
1= low
5=high</t>
  </si>
  <si>
    <t>Status</t>
  </si>
  <si>
    <t>Open</t>
  </si>
  <si>
    <t>Due Date</t>
  </si>
  <si>
    <t>Release 1</t>
  </si>
  <si>
    <t>Release 2</t>
  </si>
  <si>
    <t>Release 3</t>
  </si>
  <si>
    <t>Release</t>
  </si>
  <si>
    <t>ID</t>
  </si>
  <si>
    <t>Duration</t>
  </si>
  <si>
    <t>Completion %</t>
  </si>
  <si>
    <t>Effort</t>
  </si>
  <si>
    <t>Area</t>
  </si>
  <si>
    <t>Actual</t>
  </si>
  <si>
    <t>MBB</t>
  </si>
  <si>
    <t>#</t>
  </si>
  <si>
    <t>Attività</t>
  </si>
  <si>
    <t>TXT Novigo</t>
  </si>
  <si>
    <t>Start Date</t>
  </si>
  <si>
    <t>End Date</t>
  </si>
  <si>
    <t>AVG Loading</t>
  </si>
  <si>
    <t>Role</t>
  </si>
  <si>
    <t>TL</t>
  </si>
  <si>
    <t>BA</t>
  </si>
  <si>
    <t>DEV</t>
  </si>
  <si>
    <t>Total</t>
  </si>
  <si>
    <t>LC/HR</t>
  </si>
  <si>
    <t>LC /Day</t>
  </si>
  <si>
    <t>Costs</t>
  </si>
  <si>
    <t>hr</t>
  </si>
  <si>
    <t>AVG FTE</t>
  </si>
  <si>
    <t>Average Cost Rate (daily)</t>
  </si>
  <si>
    <t>Mar</t>
  </si>
  <si>
    <t>Apr</t>
  </si>
  <si>
    <t>Mag</t>
  </si>
  <si>
    <t>Giu</t>
  </si>
  <si>
    <t>Lug</t>
  </si>
  <si>
    <t>Ago</t>
  </si>
  <si>
    <t>Set</t>
  </si>
  <si>
    <t>Ott</t>
  </si>
  <si>
    <t>PM</t>
  </si>
  <si>
    <t>NET Day</t>
  </si>
  <si>
    <t>Pure Cost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</si>
  <si>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</si>
  <si>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</si>
  <si>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</si>
  <si>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</si>
  <si>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</si>
  <si>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</si>
  <si>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</si>
  <si>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</si>
  <si>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</si>
  <si>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Activity</t>
  </si>
  <si>
    <t>Due Date (old)</t>
  </si>
  <si>
    <t>Due Date (new)</t>
  </si>
  <si>
    <t>QR</t>
  </si>
  <si>
    <t>TR</t>
  </si>
  <si>
    <t>BR</t>
  </si>
  <si>
    <t>Grand Total</t>
  </si>
  <si>
    <t>Sum of Overall Risk Value</t>
  </si>
  <si>
    <t>RR</t>
  </si>
  <si>
    <r>
      <rPr>
        <b/>
        <sz val="8"/>
        <color theme="1"/>
        <rFont val="Poppins"/>
      </rPr>
      <t>Non completezza degli Swagger</t>
    </r>
    <r>
      <rPr>
        <sz val="8"/>
        <color theme="1"/>
        <rFont val="Poppins"/>
      </rPr>
      <t xml:space="preserve">
La documentazione Swagger risulta incompleta o non aggiornata, con conseguente rischio di ambiguità interpretative sulle API e possibili rallentamenti nelle attività di sviluppo e integrazione.</t>
    </r>
  </si>
  <si>
    <r>
      <rPr>
        <b/>
        <sz val="8"/>
        <color theme="1"/>
        <rFont val="Poppins"/>
      </rPr>
      <t>API di test non disponibili entro la data del 17/07</t>
    </r>
    <r>
      <rPr>
        <sz val="8"/>
        <color theme="1"/>
        <rFont val="Poppins"/>
      </rPr>
      <t xml:space="preserve">
La mancata disponibilità delle API nell’ambiente di test entro la data prevista potrebbe compromettere la pianificazione delle attività di verifica, generando ritardi a cascata sulle fasi successive.</t>
    </r>
  </si>
  <si>
    <r>
      <rPr>
        <b/>
        <sz val="8"/>
        <color theme="1"/>
        <rFont val="Poppins"/>
      </rPr>
      <t>API non funzionanti e necessità di rework da parte di ING</t>
    </r>
    <r>
      <rPr>
        <sz val="8"/>
        <color theme="1"/>
        <rFont val="Poppins"/>
      </rPr>
      <t xml:space="preserve">
Il malfunzionamento delle API fornite comporta la necessità di interventi correttivi da parte di ING, con impatti su tempi, qualità complessiva della soluzione e possibile aumento delle attività di coordinamento</t>
    </r>
  </si>
  <si>
    <r>
      <rPr>
        <b/>
        <sz val="8"/>
        <color theme="1"/>
        <rFont val="Poppins"/>
      </rPr>
      <t>Maggiore effort per l’esecuzione dei SIT rispetto al pianificato</t>
    </r>
    <r>
      <rPr>
        <sz val="8"/>
        <color theme="1"/>
        <rFont val="Poppins"/>
      </rPr>
      <t xml:space="preserve">
L’esecuzione dei System Integration Test potrebbe richiedere uno sforzo superiore alle stime iniziali, a causa di complessità tecniche o dipendenze non previste, con conseguente slittamento delle tempistiche.</t>
    </r>
  </si>
  <si>
    <r>
      <rPr>
        <b/>
        <sz val="8"/>
        <color theme="1"/>
        <rFont val="Poppins"/>
      </rPr>
      <t>Maggiore effort per l’esecuzione degli UAT rispetto al pianificato</t>
    </r>
    <r>
      <rPr>
        <sz val="8"/>
        <color theme="1"/>
        <rFont val="Poppins"/>
      </rPr>
      <t xml:space="preserve">
Le attività di User Acceptance Test potrebbero risultare più onerose del previsto, per via di un numero maggiore di casi da validare o iterazioni aggiuntive, impattando la data di go-live.</t>
    </r>
  </si>
  <si>
    <r>
      <rPr>
        <b/>
        <sz val="8"/>
        <color theme="1"/>
        <rFont val="Poppins"/>
      </rPr>
      <t>Necessità di maggiore effort per l’analisi di dettaglio</t>
    </r>
    <r>
      <rPr>
        <sz val="8"/>
        <color theme="1"/>
        <rFont val="Poppins"/>
      </rPr>
      <t xml:space="preserve">
La fase di analisi potrebbe richiedere un approfondimento superiore alle attese per chiarire requisiti incompleti o evolutivi, con impatti su tempi e allocazione delle risorse progettuali.</t>
    </r>
  </si>
  <si>
    <r>
      <rPr>
        <b/>
        <sz val="8"/>
        <color theme="1"/>
        <rFont val="Poppins"/>
      </rPr>
      <t>Necessità di maggiori risorse per il supporto</t>
    </r>
    <r>
      <rPr>
        <sz val="8"/>
        <color theme="1"/>
        <rFont val="Poppins"/>
      </rPr>
      <t xml:space="preserve">
Il livello di supporto richiesto potrebbe eccedere quanto pianificato, rendendo necessaria l’allocazione di risorse aggiuntive per garantire continuità operativa e qualità del servizio</t>
    </r>
  </si>
  <si>
    <t>Probabilty</t>
  </si>
  <si>
    <t>Impact (days extra-effort)</t>
  </si>
  <si>
    <t>Contigency</t>
  </si>
  <si>
    <t>REV</t>
  </si>
  <si>
    <t>Contract Value</t>
  </si>
  <si>
    <t>Margin (€)</t>
  </si>
  <si>
    <t>Margin (%)</t>
  </si>
  <si>
    <t>CCI% YTD</t>
  </si>
  <si>
    <t>Contigency (€)</t>
  </si>
  <si>
    <t>Contigency (%)</t>
  </si>
  <si>
    <t>EV %</t>
  </si>
  <si>
    <t>1)Introdurre una review formale e periodica della documentazione API (es. weekly checkpoint).
2) Definire uno standard minimo obbligatorio per gli Swagger (campi, esempi, codici errore).
3) Coinvolgere i team di sviluppo in sessioni di chiarimento anticipate (API walkthrough).
4) Utilizzare strumenti di validazione automatica degli Swagger (linting).</t>
  </si>
  <si>
    <t>1)Rilascio progressivo delle API previste per anticipare la fase di test (early integration test).
2) Attivare un canale diretto di supporto tecnico
3) Documentare e tracciare i difetti con prioritizzazione condivisa.</t>
  </si>
  <si>
    <t>1) Effettuare una revisione dettagliata delle dipendenze tecniche prima dell’avvio.
2) Suddividere i test in blocchi incrementali (test per integrazione progressiva).
3) Rafforzare il team durante i SIT con risorse aggiuntive o competenze specialistiche (MBB)</t>
  </si>
  <si>
    <t>1) Definire casi di test prioritari (risk-based testing).
2) Coinvolgere gli utenti business in fasi preliminari di validazione.
3) Preparare ambienti e dati di test realistici in anticipo.
4) Pianificare slot dedicati e vincolanti per gli utenti UAT.</t>
  </si>
  <si>
    <t>1) Organizzare workshop di approfondimento funzionale con stakeholder chiave.
2) Formalizzare i requisiti tramite condivisione e validazione
2) Applicare un approccio iterativo (es. refinement continuo).</t>
  </si>
  <si>
    <t>1) Creare una knowledge base all'interno del materiale di formazione per ridurre richieste ripetitive.
2) Pianificare capacity buffer o risorse on-demand.</t>
  </si>
  <si>
    <t>Mitigation Actions</t>
  </si>
  <si>
    <t>1) Richiedere mock API
2) Prevedere buffer temporali nel piano di test.
3) Monitorare lo stato con daily tracking e escalation rapida in caso di ritardi.</t>
  </si>
  <si>
    <t>Infra</t>
  </si>
  <si>
    <t>Assessment AS-IS completato: fonti, flussi, gap e pain point condivisi con business</t>
  </si>
  <si>
    <t>Blueprint target approvato: modello dati, regole, controlli, sicurezza e ownership</t>
  </si>
  <si>
    <t>Dataset normalizzato e gestione scarti validati con utenti CDG</t>
  </si>
  <si>
    <t>Elaborazioni, ribaltamenti, audit trail e quadrature approvati</t>
  </si>
  <si>
    <t>Dashboard CDG, dashboard tecnica e notifiche pronte per UAT</t>
  </si>
  <si>
    <t>UAT e parallel run completati, cut-over formalizzato</t>
  </si>
  <si>
    <t>Sistema in esercizio con runbook, formazione e supporto primo ciclo di chiusura</t>
  </si>
  <si>
    <t>Porting HR, AI anomaly detection e automazioni avanzate da pianificare post stabilizzazione</t>
  </si>
  <si>
    <t>AS-IS validato</t>
  </si>
  <si>
    <t>TO-BE approvato</t>
  </si>
  <si>
    <t>Normalizzazione validata</t>
  </si>
  <si>
    <t>Quadrature OK</t>
  </si>
  <si>
    <t>Output validati</t>
  </si>
  <si>
    <t>Go-live approvato</t>
  </si>
  <si>
    <t>Go-live</t>
  </si>
  <si>
    <t>Evolutive opzionali</t>
  </si>
  <si>
    <t>Accesso/export dati SAP disponibili con tracciato e frequenza confermati</t>
  </si>
  <si>
    <t>CDG-022</t>
  </si>
  <si>
    <t>Accesso/export Jira e Tempo disponibili con mapping utenti/progetti</t>
  </si>
  <si>
    <t>CDG-023</t>
  </si>
  <si>
    <t>Accesso CDG APP e descrizione modello dati disponibile</t>
  </si>
  <si>
    <t>CDG-024</t>
  </si>
  <si>
    <t>Prima versione tabelle di corrispondenza fornita e validata</t>
  </si>
  <si>
    <t>CDG</t>
  </si>
  <si>
    <t>CDG-025</t>
  </si>
  <si>
    <t>Key user CDG disponibili per validazioni e UAT</t>
  </si>
  <si>
    <t>CDG-009, CDG-028, CDG-042</t>
  </si>
  <si>
    <t>Ambienti dev/test/prod disponibili con profili di accesso</t>
  </si>
  <si>
    <t>CDG-017, CDG-021</t>
  </si>
  <si>
    <t>Definizione soglie di quadratura e tolleranze accettate</t>
  </si>
  <si>
    <t>CDG-014, CDG-032</t>
  </si>
  <si>
    <t>Periodo campione per parallel run concordato e dati storici disponibili</t>
  </si>
  <si>
    <t>CDG-043</t>
  </si>
  <si>
    <t>Policy accesso dati HR chiarita per eventuale porting opzionale</t>
  </si>
  <si>
    <t>CDG-052</t>
  </si>
  <si>
    <t>Linked Tasks</t>
  </si>
  <si>
    <t>HR</t>
  </si>
  <si>
    <t>Avvio e perimetro</t>
  </si>
  <si>
    <t>Kick-off progetto e allineamento stakeholder</t>
  </si>
  <si>
    <t>Definizione perimetro funzionale e tecnico</t>
  </si>
  <si>
    <t>Raccolta documentazione esistente e asset di progetto</t>
  </si>
  <si>
    <t>Impostazione piano di lavoro e governance progetto</t>
  </si>
  <si>
    <t>Assessment AS-IS</t>
  </si>
  <si>
    <t>Analisi fonti SAP, Jira/Tempo, CDG APP e tabelle mapping</t>
  </si>
  <si>
    <t>Mappatura flussi input grezzi e dipendenze applicative</t>
  </si>
  <si>
    <t>Analisi qualità dati e gap principali</t>
  </si>
  <si>
    <t>Identificazione manualità, pain point e rischi operativi</t>
  </si>
  <si>
    <t>Validazione assessment AS-IS</t>
  </si>
  <si>
    <t>Disegno TO-BE</t>
  </si>
  <si>
    <t>Disegno modello dati normalizzato</t>
  </si>
  <si>
    <t>Definizione regole di normalizzazione</t>
  </si>
  <si>
    <t>Definizione regole di arricchimento e ribaltamento costi</t>
  </si>
  <si>
    <t>Definizione validità temporale mapping e storicizzazione regole</t>
  </si>
  <si>
    <t>Disegno controlli, quadrature e data quality</t>
  </si>
  <si>
    <t>Disegno profili, ownership dati e sicurezza accessi</t>
  </si>
  <si>
    <t>Validazione disegno TO-BE</t>
  </si>
  <si>
    <t>Setup Ambienti</t>
  </si>
  <si>
    <t>Setup ambienti dev/test/prod</t>
  </si>
  <si>
    <t>Configurazione staging area e pipeline dati</t>
  </si>
  <si>
    <t>Configurazione batch notturni e schedulazione</t>
  </si>
  <si>
    <t>Logging tecnico e monitoraggio applicativo</t>
  </si>
  <si>
    <t>Gestione profili e accessi applicativi</t>
  </si>
  <si>
    <t>Normalizzazione</t>
  </si>
  <si>
    <t>Import dati da SAP</t>
  </si>
  <si>
    <t>Import dati da Jira/Tempo</t>
  </si>
  <si>
    <t>Import dati da CDG APP</t>
  </si>
  <si>
    <t>Implementazione normalizzazione e mapping</t>
  </si>
  <si>
    <t>Gestione scarti e anomalie di normalizzazione</t>
  </si>
  <si>
    <t>Storicizzazione input grezzi e dati normalizzati</t>
  </si>
  <si>
    <t>Validazione normalizzazione con utenti CDG</t>
  </si>
  <si>
    <t>Elaborazioni</t>
  </si>
  <si>
    <t>Implementazione regole di arricchimento</t>
  </si>
  <si>
    <t>Implementazione ribaltamento costi</t>
  </si>
  <si>
    <t>Gestione versioning e storicizzazione regole</t>
  </si>
  <si>
    <t>Implementazione quadrature fonte vs output</t>
  </si>
  <si>
    <t>Audit trail elaborazioni e lineage dati</t>
  </si>
  <si>
    <t>Validazione elaborazioni e quadrature CDG</t>
  </si>
  <si>
    <t>Dashboard e Output</t>
  </si>
  <si>
    <t>Raccolta requisiti dashboard CDG</t>
  </si>
  <si>
    <t>Implementazione dashboard CDG</t>
  </si>
  <si>
    <t>Implementazione dashboard tecnica batch</t>
  </si>
  <si>
    <t>Configurazione notifiche mail esito elaborazioni</t>
  </si>
  <si>
    <t>Performance e UX review dashboard</t>
  </si>
  <si>
    <t>Validazione output e dashboard</t>
  </si>
  <si>
    <t>Test e parallel run</t>
  </si>
  <si>
    <t>Preparazione test plan e casi UAT</t>
  </si>
  <si>
    <t>Esecuzione UAT con key user</t>
  </si>
  <si>
    <t>Parallel run su periodo campione</t>
  </si>
  <si>
    <t>Riconciliazione differenze e correzioni prioritarie</t>
  </si>
  <si>
    <t>Definizione cut-over e freeze periodi chiusi</t>
  </si>
  <si>
    <t>Go-live readiness review</t>
  </si>
  <si>
    <t>Go live e hypercare</t>
  </si>
  <si>
    <t>Redazione runbook operativo</t>
  </si>
  <si>
    <t>Formazione utenti e handover operativo</t>
  </si>
  <si>
    <t>Go-live controllato</t>
  </si>
  <si>
    <t>Supporto primo ciclo di chiusura</t>
  </si>
  <si>
    <t>Consolidamento backlog evolutive post go-live</t>
  </si>
  <si>
    <t>Assessment porting dati HR su CDG APP</t>
  </si>
  <si>
    <t>POC AI per anomaly detection sui controlli</t>
  </si>
  <si>
    <t>Disegno notifiche evolute e automazioni avanzate</t>
  </si>
  <si>
    <t>Fase 1</t>
  </si>
  <si>
    <t>Fase 2</t>
  </si>
  <si>
    <t>Fase 3</t>
  </si>
  <si>
    <t>PM/BA</t>
  </si>
  <si>
    <t>BA/TL</t>
  </si>
  <si>
    <t>BA/DEV</t>
  </si>
  <si>
    <t>BA/PM</t>
  </si>
  <si>
    <t>PM/CDG</t>
  </si>
  <si>
    <t>TL/BA</t>
  </si>
  <si>
    <t>BA/CDG</t>
  </si>
  <si>
    <t>TL/PM</t>
  </si>
  <si>
    <t>DEV/TL</t>
  </si>
  <si>
    <t>DEV/BA</t>
  </si>
  <si>
    <t>BA/DEV/CDG</t>
  </si>
  <si>
    <t>PM/TL/DEV</t>
  </si>
  <si>
    <t>Task</t>
  </si>
  <si>
    <t>CDG-001</t>
  </si>
  <si>
    <t>CDG-002</t>
  </si>
  <si>
    <t>CDG-003</t>
  </si>
  <si>
    <t>CDG-004</t>
  </si>
  <si>
    <t>CDG-005</t>
  </si>
  <si>
    <t>CDG-006</t>
  </si>
  <si>
    <t>CDG-007</t>
  </si>
  <si>
    <t>CDG-008</t>
  </si>
  <si>
    <t>CDG-009</t>
  </si>
  <si>
    <t>CDG-010</t>
  </si>
  <si>
    <t>CDG-011</t>
  </si>
  <si>
    <t>CDG-012</t>
  </si>
  <si>
    <t>CDG-013</t>
  </si>
  <si>
    <t>CDG-014</t>
  </si>
  <si>
    <t>CDG-015</t>
  </si>
  <si>
    <t>CDG-016</t>
  </si>
  <si>
    <t>CDG-017</t>
  </si>
  <si>
    <t>CDG-018</t>
  </si>
  <si>
    <t>CDG-019</t>
  </si>
  <si>
    <t>CDG-020</t>
  </si>
  <si>
    <t>CDG-021</t>
  </si>
  <si>
    <t>CDG-026</t>
  </si>
  <si>
    <t>CDG-027</t>
  </si>
  <si>
    <t>CDG-028</t>
  </si>
  <si>
    <t>CDG-029</t>
  </si>
  <si>
    <t>CDG-030</t>
  </si>
  <si>
    <t>CDG-031</t>
  </si>
  <si>
    <t>CDG-032</t>
  </si>
  <si>
    <t>CDG-033</t>
  </si>
  <si>
    <t>CDG-034</t>
  </si>
  <si>
    <t>CDG-035</t>
  </si>
  <si>
    <t>CDG-036</t>
  </si>
  <si>
    <t>CDG-037</t>
  </si>
  <si>
    <t>CDG-038</t>
  </si>
  <si>
    <t>CDG-039</t>
  </si>
  <si>
    <t>CDG-040</t>
  </si>
  <si>
    <t>CDG-041</t>
  </si>
  <si>
    <t>CDG-042</t>
  </si>
  <si>
    <t>CDG-044</t>
  </si>
  <si>
    <t>CDG-045</t>
  </si>
  <si>
    <t>CDG-046</t>
  </si>
  <si>
    <t>CDG-047</t>
  </si>
  <si>
    <t>CDG-048</t>
  </si>
  <si>
    <t>CDG-049</t>
  </si>
  <si>
    <t>CDG-050</t>
  </si>
  <si>
    <t>CDG-051</t>
  </si>
  <si>
    <t>CDG-053</t>
  </si>
  <si>
    <t>CDG-054</t>
  </si>
  <si>
    <t>Issue Type</t>
  </si>
  <si>
    <t>Story</t>
  </si>
  <si>
    <t>Milestone</t>
  </si>
  <si>
    <t>Spike</t>
  </si>
  <si>
    <t>Depends On</t>
  </si>
  <si>
    <t>Acceptance Criteria</t>
  </si>
  <si>
    <t>Kick-off eseguito, stakeholder e canali di governance confermati</t>
  </si>
  <si>
    <t>Perimetro condiviso e validato con business e IT</t>
  </si>
  <si>
    <t>Documentazione raccolta in repository unico</t>
  </si>
  <si>
    <t>Piano di lavoro, meeting cadence e RAID log iniziale disponibili</t>
  </si>
  <si>
    <t>Fonti censite con owner, tracciati e modalità di accesso</t>
  </si>
  <si>
    <t>Flussi AS-IS disegnati e punti di controllo evidenziati</t>
  </si>
  <si>
    <t>Gap, anomalie ricorrenti e scarti potenziali documentati</t>
  </si>
  <si>
    <t>Pain point prioritizzati e validati con referenti CDG</t>
  </si>
  <si>
    <t>CDG-005, CDG-006, CDG-007, CDG-008</t>
  </si>
  <si>
    <t>Verbale validazione AS-IS approvato</t>
  </si>
  <si>
    <t>Modello logico normalizzato approvato</t>
  </si>
  <si>
    <t>Regole documentate con input, output, eccezioni</t>
  </si>
  <si>
    <t>Regole di calcolo e criteri di ribaltamento validati</t>
  </si>
  <si>
    <t>Gestione date inizio/fine validità descritta e testabile</t>
  </si>
  <si>
    <t>Matrice controlli disponibile con soglie e owner</t>
  </si>
  <si>
    <t>Matrice ruoli/accessi e ownership dati confermata</t>
  </si>
  <si>
    <t>CDG-010, CDG-011, CDG-012, CDG-013, CDG-014, CDG-015</t>
  </si>
  <si>
    <t>Blueprint TO-BE approvato</t>
  </si>
  <si>
    <t>Ambienti disponibili e accessibili</t>
  </si>
  <si>
    <t>Pipeline base attiva con caricamento dati di test</t>
  </si>
  <si>
    <t>Schedulazione configurata con esito monitorabile</t>
  </si>
  <si>
    <t>Log applicativi e stato batch consultabili</t>
  </si>
  <si>
    <t>CDG-015, CDG-017</t>
  </si>
  <si>
    <t>Profili minimi configurati per team progetto e key user</t>
  </si>
  <si>
    <t>Dati SAP caricati in staging con log esito</t>
  </si>
  <si>
    <t>Dati Jira/Tempo caricati in staging con log esito</t>
  </si>
  <si>
    <t>Dati CDG APP caricati in staging con log esito</t>
  </si>
  <si>
    <t>CDG-011, CDG-022, CDG-023, CDG-024</t>
  </si>
  <si>
    <t>Dataset normalizzato prodotto secondo regole TO-BE</t>
  </si>
  <si>
    <t>Scarti tracciati con motivazione e report consultabile</t>
  </si>
  <si>
    <t>Input e output normalizzati storicizzati per periodo</t>
  </si>
  <si>
    <t>CDG-025, CDG-026, CDG-027</t>
  </si>
  <si>
    <t>Campione dati normalizzati approvato dagli utenti CDG</t>
  </si>
  <si>
    <t>CDG-012, CDG-028</t>
  </si>
  <si>
    <t>Dati arricchiti secondo specifiche approvate</t>
  </si>
  <si>
    <t>Costi ribaltati secondo regole e mapping validi per periodo</t>
  </si>
  <si>
    <t>CDG-013, CDG-030</t>
  </si>
  <si>
    <t>Regole versionate e ricostruibili per periodo elaborato</t>
  </si>
  <si>
    <t>CDG-014, CDG-030</t>
  </si>
  <si>
    <t>Quadrature automatiche con soglie e dettaglio differenze</t>
  </si>
  <si>
    <t>CDG-031, CDG-032</t>
  </si>
  <si>
    <t>Ogni output è riconducibile a input, regola e run elaborativo</t>
  </si>
  <si>
    <t>CDG-030, CDG-032, CDG-033</t>
  </si>
  <si>
    <t>Quadrature e ribaltamenti approvati dal business</t>
  </si>
  <si>
    <t>KPI, filtri, viste e profili di visibilità definiti</t>
  </si>
  <si>
    <t>Dashboard navigabile con dati elaborati e filtri concordati</t>
  </si>
  <si>
    <t>CDG-020, CDG-036</t>
  </si>
  <si>
    <t>Stato batch, errori, durata run e ultimo caricamento visibili</t>
  </si>
  <si>
    <t>CDG-019, CDG-037</t>
  </si>
  <si>
    <t>Notifiche inviate per success/failure e anomalie principali</t>
  </si>
  <si>
    <t>Tempi risposta e usabilità validati con key user</t>
  </si>
  <si>
    <t>CDG-036, CDG-037, CDG-038, CDG-039</t>
  </si>
  <si>
    <t>Output dashboard approvati per UAT</t>
  </si>
  <si>
    <t>CDG-034, CDG-040</t>
  </si>
  <si>
    <t>Test plan approvato con scenari prioritari e dati campione</t>
  </si>
  <si>
    <t>Evidenze UAT raccolte e difetti tracciati</t>
  </si>
  <si>
    <t>CDG-034, CDG-041</t>
  </si>
  <si>
    <t>Nuovo processo confrontato con processo attuale</t>
  </si>
  <si>
    <t>CDG-042, CDG-043</t>
  </si>
  <si>
    <t>Differenze motivate o corrette; blocker azzerati</t>
  </si>
  <si>
    <t>Piano cut-over approvato, criteri freeze definiti</t>
  </si>
  <si>
    <t>CDG-042, CDG-043, CDG-044, CDG-045</t>
  </si>
  <si>
    <t>Go/no-go formalizzato</t>
  </si>
  <si>
    <t>Runbook disponibile con procedure ordinarie, errori e recovery</t>
  </si>
  <si>
    <t>Sessioni formative completate e materiali condivisi</t>
  </si>
  <si>
    <t>CDG-046, CDG-047, CDG-048</t>
  </si>
  <si>
    <t>Sistema in esercizio e primo run completato</t>
  </si>
  <si>
    <t>Primo ciclo supportato, issue classificate e risolte o pianificate</t>
  </si>
  <si>
    <t>Backlog evolutive prioritizzato con business</t>
  </si>
  <si>
    <t>Perimetro HR, privacy e dati necessari chiariti</t>
  </si>
  <si>
    <t>CDG-034, CDG-052</t>
  </si>
  <si>
    <t>POC produce suggerimenti spiegabili su anomalie note</t>
  </si>
  <si>
    <t>CDG-038, CDG-053</t>
  </si>
  <si>
    <t>Automazioni candidate descritte con valore e complessità</t>
  </si>
  <si>
    <t>Etichette di riga</t>
  </si>
  <si>
    <t>Totale complessivo</t>
  </si>
  <si>
    <t>Somma di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</si>
</sst>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_-* #,##0\ &quot;€&quot;_-;\-* #,##0\ &quot;€&quot;_-;_-* &quot;-&quot;??\ &quot;€&quot;_-;_-@_-"/>
    <numFmt numFmtId="167" formatCode="_-* #,##0_-;\-* #,##0_-;_-* &quot;-&quot;??_-;_-@_-"/>
    <numFmt numFmtId="168" formatCode="#,##0_ ;\-#,##0\ "/>
    <numFmt numFmtId="169" formatCode="0.0"/>
    <numFmt numFmtId="170" formatCode="_-* #,##0\ [$€-410]_-;\-* #,##0\ [$€-410]_-;_-* &quot;-&quot;\ [$€-410]_-;_-@_-"/>
    <numFmt numFmtId="171" formatCode="_-* #,##0.00\ [$€-410]_-;\-* #,##0.00\ [$€-410]_-;_-* &quot;-&quot;??\ [$€-410]_-;_-@_-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1" tint="0.24994659260841701"/>
      <name val="Aptos Display"/>
      <family val="2"/>
      <scheme val="major"/>
    </font>
    <font>
      <b/>
      <sz val="11"/>
      <color theme="1" tint="0.24994659260841701"/>
      <name val="Aptos Narrow"/>
      <family val="2"/>
      <scheme val="minor"/>
    </font>
    <font>
      <sz val="14"/>
      <color theme="1" tint="0.24994659260841701"/>
      <name val="Aptos Narrow"/>
      <family val="2"/>
      <scheme val="minor"/>
    </font>
    <font>
      <b/>
      <sz val="9.5"/>
      <color theme="1" tint="0.499984740745262"/>
      <name val="Aptos Narrow"/>
      <family val="2"/>
      <scheme val="minor"/>
    </font>
    <font>
      <b/>
      <sz val="8"/>
      <color theme="0"/>
      <name val="Poppins"/>
    </font>
    <font>
      <sz val="8"/>
      <color theme="1"/>
      <name val="Poppins"/>
    </font>
    <font>
      <b/>
      <sz val="8"/>
      <color theme="1"/>
      <name val="Poppins"/>
    </font>
    <font>
      <b/>
      <sz val="11"/>
      <color theme="3"/>
      <name val="Aptos Narrow"/>
      <family val="2"/>
      <scheme val="minor"/>
    </font>
    <font>
      <sz val="8"/>
      <color theme="0"/>
      <name val="Poppins"/>
    </font>
    <font>
      <sz val="11"/>
      <color theme="1"/>
      <name val="Aptos Narrow"/>
      <family val="2"/>
      <charset val="238"/>
      <scheme val="minor"/>
    </font>
    <font>
      <sz val="8"/>
      <name val="Poppins"/>
    </font>
    <font>
      <b/>
      <sz val="8"/>
      <name val="Poppins"/>
    </font>
    <font>
      <i/>
      <sz val="8"/>
      <color theme="1"/>
      <name val="Poppins"/>
    </font>
    <font>
      <sz val="8"/>
      <color rgb="FFC00000"/>
      <name val="Poppins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u/>
      <sz val="10"/>
      <color theme="1"/>
      <name val="Poppins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 applyFill="0" applyBorder="0" applyProtection="0">
      <alignment horizontal="left"/>
    </xf>
    <xf numFmtId="0" fontId="4" fillId="5" borderId="2" applyNumberFormat="0" applyProtection="0">
      <alignment horizontal="left" vertical="center"/>
    </xf>
    <xf numFmtId="0" fontId="5" fillId="0" borderId="0" applyNumberFormat="0" applyFill="0" applyBorder="0" applyProtection="0">
      <alignment horizontal="left" vertical="center"/>
    </xf>
    <xf numFmtId="0" fontId="6" fillId="0" borderId="0" applyFill="0" applyBorder="0" applyProtection="0">
      <alignment horizontal="center"/>
    </xf>
    <xf numFmtId="3" fontId="6" fillId="0" borderId="3" applyFill="0" applyProtection="0">
      <alignment horizontal="center"/>
    </xf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4" applyNumberFormat="0" applyFill="0" applyAlignment="0" applyProtection="0"/>
    <xf numFmtId="0" fontId="2" fillId="0" borderId="0"/>
    <xf numFmtId="44" fontId="12" fillId="0" borderId="0" applyFont="0" applyFill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/>
    <xf numFmtId="9" fontId="9" fillId="0" borderId="0" xfId="1" applyFont="1"/>
    <xf numFmtId="0" fontId="9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horizontal="center"/>
    </xf>
    <xf numFmtId="0" fontId="14" fillId="0" borderId="0" xfId="0" applyFont="1"/>
    <xf numFmtId="0" fontId="13" fillId="0" borderId="0" xfId="11" applyFont="1" applyBorder="1"/>
    <xf numFmtId="9" fontId="13" fillId="0" borderId="0" xfId="11" applyNumberFormat="1" applyFont="1" applyBorder="1" applyAlignment="1">
      <alignment horizontal="center"/>
    </xf>
    <xf numFmtId="9" fontId="13" fillId="0" borderId="0" xfId="0" applyNumberFormat="1" applyFont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9" fontId="13" fillId="0" borderId="0" xfId="1" applyFont="1"/>
    <xf numFmtId="0" fontId="9" fillId="0" borderId="0" xfId="12" applyFont="1"/>
    <xf numFmtId="166" fontId="13" fillId="0" borderId="0" xfId="10" applyNumberFormat="1" applyFont="1"/>
    <xf numFmtId="1" fontId="14" fillId="0" borderId="0" xfId="0" applyNumberFormat="1" applyFont="1"/>
    <xf numFmtId="171" fontId="9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4" borderId="1" xfId="0" applyFont="1" applyFill="1" applyBorder="1"/>
    <xf numFmtId="0" fontId="8" fillId="0" borderId="1" xfId="0" applyFont="1" applyBorder="1" applyAlignment="1">
      <alignment horizontal="left"/>
    </xf>
    <xf numFmtId="0" fontId="8" fillId="0" borderId="1" xfId="0" applyFont="1" applyBorder="1"/>
    <xf numFmtId="0" fontId="11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vertical="center" wrapText="1"/>
    </xf>
    <xf numFmtId="164" fontId="8" fillId="0" borderId="0" xfId="10" applyFont="1" applyAlignment="1">
      <alignment vertical="center" wrapText="1"/>
    </xf>
    <xf numFmtId="9" fontId="9" fillId="0" borderId="0" xfId="0" applyNumberFormat="1" applyFont="1"/>
    <xf numFmtId="164" fontId="8" fillId="0" borderId="0" xfId="10" applyFont="1"/>
    <xf numFmtId="9" fontId="8" fillId="0" borderId="0" xfId="1" applyFont="1"/>
    <xf numFmtId="164" fontId="9" fillId="0" borderId="0" xfId="0" applyNumberFormat="1" applyFont="1"/>
    <xf numFmtId="164" fontId="9" fillId="0" borderId="0" xfId="10" applyFont="1"/>
    <xf numFmtId="0" fontId="8" fillId="0" borderId="0" xfId="0" applyFont="1" applyAlignment="1">
      <alignment horizontal="right"/>
    </xf>
    <xf numFmtId="17" fontId="9" fillId="0" borderId="6" xfId="0" applyNumberFormat="1" applyFont="1" applyBorder="1"/>
    <xf numFmtId="0" fontId="15" fillId="0" borderId="0" xfId="0" applyFont="1"/>
    <xf numFmtId="0" fontId="9" fillId="0" borderId="6" xfId="0" applyFont="1" applyBorder="1" applyAlignment="1">
      <alignment horizontal="center"/>
    </xf>
    <xf numFmtId="0" fontId="11" fillId="4" borderId="0" xfId="0" applyFont="1" applyFill="1"/>
    <xf numFmtId="9" fontId="13" fillId="7" borderId="0" xfId="0" applyNumberFormat="1" applyFont="1" applyFill="1"/>
    <xf numFmtId="1" fontId="13" fillId="7" borderId="0" xfId="11" applyNumberFormat="1" applyFont="1" applyFill="1" applyBorder="1"/>
    <xf numFmtId="1" fontId="14" fillId="7" borderId="0" xfId="0" applyNumberFormat="1" applyFont="1" applyFill="1"/>
    <xf numFmtId="164" fontId="13" fillId="7" borderId="0" xfId="10" applyFont="1" applyFill="1"/>
    <xf numFmtId="166" fontId="13" fillId="7" borderId="0" xfId="10" applyNumberFormat="1" applyFont="1" applyFill="1"/>
    <xf numFmtId="167" fontId="14" fillId="7" borderId="0" xfId="9" applyNumberFormat="1" applyFont="1" applyFill="1"/>
    <xf numFmtId="167" fontId="13" fillId="7" borderId="0" xfId="9" applyNumberFormat="1" applyFont="1" applyFill="1"/>
    <xf numFmtId="168" fontId="13" fillId="7" borderId="0" xfId="0" applyNumberFormat="1" applyFont="1" applyFill="1"/>
    <xf numFmtId="166" fontId="14" fillId="7" borderId="0" xfId="0" applyNumberFormat="1" applyFont="1" applyFill="1"/>
    <xf numFmtId="170" fontId="9" fillId="7" borderId="0" xfId="0" applyNumberFormat="1" applyFont="1" applyFill="1"/>
    <xf numFmtId="169" fontId="8" fillId="7" borderId="0" xfId="0" applyNumberFormat="1" applyFont="1" applyFill="1"/>
    <xf numFmtId="171" fontId="13" fillId="7" borderId="0" xfId="11" applyNumberFormat="1" applyFont="1" applyFill="1" applyBorder="1"/>
    <xf numFmtId="171" fontId="14" fillId="7" borderId="0" xfId="0" applyNumberFormat="1" applyFont="1" applyFill="1"/>
    <xf numFmtId="171" fontId="8" fillId="7" borderId="0" xfId="10" applyNumberFormat="1" applyFont="1" applyFill="1"/>
    <xf numFmtId="171" fontId="9" fillId="7" borderId="0" xfId="0" applyNumberFormat="1" applyFont="1" applyFill="1"/>
    <xf numFmtId="9" fontId="8" fillId="7" borderId="0" xfId="1" applyFont="1" applyFill="1"/>
    <xf numFmtId="9" fontId="9" fillId="7" borderId="0" xfId="1" applyFont="1" applyFill="1"/>
    <xf numFmtId="164" fontId="8" fillId="7" borderId="0" xfId="10" applyFont="1" applyFill="1"/>
    <xf numFmtId="164" fontId="9" fillId="7" borderId="0" xfId="0" applyNumberFormat="1" applyFont="1" applyFill="1"/>
    <xf numFmtId="0" fontId="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71" fontId="9" fillId="7" borderId="1" xfId="10" applyNumberFormat="1" applyFont="1" applyFill="1" applyBorder="1" applyAlignment="1">
      <alignment vertical="center" wrapText="1"/>
    </xf>
    <xf numFmtId="171" fontId="9" fillId="7" borderId="6" xfId="0" applyNumberFormat="1" applyFont="1" applyFill="1" applyBorder="1" applyAlignment="1">
      <alignment vertical="center" wrapText="1"/>
    </xf>
    <xf numFmtId="0" fontId="9" fillId="7" borderId="6" xfId="0" applyFont="1" applyFill="1" applyBorder="1" applyAlignment="1">
      <alignment vertical="center" wrapText="1"/>
    </xf>
    <xf numFmtId="0" fontId="14" fillId="8" borderId="0" xfId="0" applyFont="1" applyFill="1" applyAlignment="1">
      <alignment horizontal="right"/>
    </xf>
    <xf numFmtId="9" fontId="14" fillId="8" borderId="0" xfId="1" applyFont="1" applyFill="1" applyAlignment="1">
      <alignment horizontal="center"/>
    </xf>
    <xf numFmtId="16" fontId="9" fillId="0" borderId="10" xfId="0" applyNumberFormat="1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4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left"/>
    </xf>
    <xf numFmtId="0" fontId="2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</cellXfs>
  <cellStyles count="14">
    <cellStyle name="Activity" xfId="4" xr:uid="{5E1EBF64-71FD-48C9-B921-A97B01A8B21B}"/>
    <cellStyle name="Currency 3" xfId="13" xr:uid="{3EBC1F96-8627-4440-AA54-41F237BBC895}"/>
    <cellStyle name="Label" xfId="6" xr:uid="{825110AE-5071-46CB-A79F-5DE8ABF3DCD7}"/>
    <cellStyle name="Migliaia" xfId="9" builtinId="3"/>
    <cellStyle name="Normal 12 2" xfId="12" xr:uid="{D89C26F2-8712-417A-AF57-CD7CAE22C10E}"/>
    <cellStyle name="Normal 2 2" xfId="2" xr:uid="{16E05D5E-080F-4608-A956-B2018D9F621C}"/>
    <cellStyle name="Normale" xfId="0" builtinId="0"/>
    <cellStyle name="Percent 2" xfId="3" xr:uid="{9D55D5D2-F452-41AF-8D03-A9D23DAA012E}"/>
    <cellStyle name="Percentuale" xfId="1" builtinId="5"/>
    <cellStyle name="Period Headers" xfId="8" xr:uid="{2D0A7B78-F884-4C0F-958D-73BD8F7EF7E0}"/>
    <cellStyle name="Period Highlight Control" xfId="5" xr:uid="{A6A911D4-0271-4D6C-92F1-516EE5C8C6F4}"/>
    <cellStyle name="Project Headers" xfId="7" xr:uid="{ED27C7FC-1859-4489-B368-A95D831B7E56}"/>
    <cellStyle name="Titolo 3" xfId="11" builtinId="18"/>
    <cellStyle name="Valuta" xfId="10" builtinId="4"/>
  </cellStyles>
  <dxfs count="2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960" b="1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sz="96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rPr>
              <a:t>CCI Margin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960" b="1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'04_Forecast'!$C$35</c:f>
              <c:strCache>
                <c:ptCount val="1"/>
                <c:pt idx="0">
                  <c:v>Margin (%)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'04_Forecast'!$D$35:$K$35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-0.53596153846153849</c:v>
                </c:pt>
                <c:pt idx="3">
                  <c:v>0.61358974358974361</c:v>
                </c:pt>
                <c:pt idx="4">
                  <c:v>0.61358974358974361</c:v>
                </c:pt>
                <c:pt idx="5">
                  <c:v>0.61358974358974361</c:v>
                </c:pt>
                <c:pt idx="6">
                  <c:v>0.61358974358974361</c:v>
                </c:pt>
                <c:pt idx="7">
                  <c:v>0.48288461538461541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5-482C-A1EE-783D94ED5C8C}"/>
            </c:ext>
          </c:extLst>
        </c:ser>
        <c:ser>
          <c:idx val="1"/>
          <c:order val="1"/>
          <c:tx>
            <c:strRef>
              <c:f>'04_Forecast'!$C$36</c:f>
              <c:strCache>
                <c:ptCount val="1"/>
                <c:pt idx="0">
                  <c:v>CCI% YTD</c:v>
                </c:pt>
              </c:strCache>
            </c:strRef>
          </c:tx>
          <c:spPr>
            <a:ln w="2222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'04_Forecast'!$D$36:$K$36</c:f>
              <c:numCache>
                <c:formatCode>0%</c:formatCode>
                <c:ptCount val="8"/>
                <c:pt idx="0">
                  <c:v>0.51753086419753092</c:v>
                </c:pt>
                <c:pt idx="1">
                  <c:v>0.51753086419753092</c:v>
                </c:pt>
                <c:pt idx="2">
                  <c:v>0.26154205607476638</c:v>
                </c:pt>
                <c:pt idx="3">
                  <c:v>0.31581027667984191</c:v>
                </c:pt>
                <c:pt idx="4">
                  <c:v>0.3555821917808219</c:v>
                </c:pt>
                <c:pt idx="5">
                  <c:v>0.3859818731117825</c:v>
                </c:pt>
                <c:pt idx="6">
                  <c:v>0.40997297297297297</c:v>
                </c:pt>
                <c:pt idx="7">
                  <c:v>0.41895734597156398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D5-482C-A1EE-783D94ED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619376"/>
        <c:axId val="1987620336"/>
      </c:lineChart>
      <c:catAx>
        <c:axId val="198761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20336"/>
        <c:crosses val="autoZero"/>
        <c:auto val="1"/>
        <c:lblAlgn val="ctr"/>
        <c:lblOffset val="100"/>
        <c:noMultiLvlLbl val="0"/>
      </c:catAx>
      <c:valAx>
        <c:axId val="198762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619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Migration_Project Plan v2.xlsx]05_Risk_Assessment!PivotTable8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 b="1"/>
              <a:t>Overall Risk Value</a:t>
            </a:r>
          </a:p>
        </c:rich>
      </c:tx>
      <c:layout>
        <c:manualLayout>
          <c:xMode val="edge"/>
          <c:yMode val="edge"/>
          <c:x val="0.40821465156051473"/>
          <c:y val="3.8439526239813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Poppins" panose="00000500000000000000" pitchFamily="2" charset="0"/>
                  <a:ea typeface="+mn-ea"/>
                  <a:cs typeface="Poppins" panose="00000500000000000000" pitchFamily="2" charset="0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13195461120129"/>
          <c:y val="0.21574760468026391"/>
          <c:w val="0.42888387695256686"/>
          <c:h val="0.64739226436621111"/>
        </c:manualLayout>
      </c:layout>
      <c:radarChart>
        <c:radarStyle val="marker"/>
        <c:varyColors val="0"/>
        <c:ser>
          <c:idx val="0"/>
          <c:order val="0"/>
          <c:tx>
            <c:strRef>
              <c:f>'05_Risk_Assessment'!$B$15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'05_Risk_Assessment'!$A$16:$A$20</c:f>
              <c:strCache>
                <c:ptCount val="4"/>
                <c:pt idx="0">
                  <c:v>BR</c:v>
                </c:pt>
                <c:pt idx="1">
                  <c:v>QR</c:v>
                </c:pt>
                <c:pt idx="2">
                  <c:v>RR</c:v>
                </c:pt>
                <c:pt idx="3">
                  <c:v>TR</c:v>
                </c:pt>
              </c:strCache>
            </c:strRef>
          </c:cat>
          <c:val>
            <c:numRef>
              <c:f>'05_Risk_Assessment'!$B$16:$B$20</c:f>
              <c:numCache>
                <c:formatCode>General</c:formatCode>
                <c:ptCount val="4"/>
                <c:pt idx="0">
                  <c:v>16</c:v>
                </c:pt>
                <c:pt idx="1">
                  <c:v>29</c:v>
                </c:pt>
                <c:pt idx="2">
                  <c:v>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8-4FD3-BC9D-66205221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7974031"/>
        <c:axId val="1927974511"/>
      </c:radarChart>
      <c:catAx>
        <c:axId val="19279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511"/>
        <c:crosses val="autoZero"/>
        <c:auto val="1"/>
        <c:lblAlgn val="ctr"/>
        <c:lblOffset val="100"/>
        <c:noMultiLvlLbl val="0"/>
      </c:catAx>
      <c:valAx>
        <c:axId val="19279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92797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073486417215"/>
          <c:y val="0.91259146864277341"/>
          <c:w val="0.12333856228514894"/>
          <c:h val="5.9711553531080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Poppins" panose="00000500000000000000" pitchFamily="2" charset="0"/>
          <a:cs typeface="Poppins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36</xdr:row>
      <xdr:rowOff>185737</xdr:rowOff>
    </xdr:from>
    <xdr:to>
      <xdr:col>11</xdr:col>
      <xdr:colOff>19050</xdr:colOff>
      <xdr:row>50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235FA6-72A5-570A-9ABB-2432C380B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1704974</xdr:colOff>
      <xdr:row>13</xdr:row>
      <xdr:rowOff>95250</xdr:rowOff>
    </xdr:from>
    <xdr:to>
      <xdr:col>10</xdr:col>
      <xdr:colOff>0</xdr:colOff>
      <xdr:row>33</xdr:row>
      <xdr:rowOff>28574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27C7558-638A-4CC6-1F12-646E04FF2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co Fanfoni" id="{BC62601D-39F1-4D63-BA18-02DF07D2BB29}" userId="S::marco.fanfoni@txtgroup.com::e0483462-deba-421b-b5f7-276f6c8c34a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Fanfoni" refreshedDate="46132.47648229167" createdVersion="8" refreshedVersion="8" minRefreshableVersion="3" recordCount="10" xr:uid="{EA2F271E-C742-4BB1-9227-E87DBEA108CD}">
  <cacheSource type="worksheet">
    <worksheetSource ref="A3:G13" sheet="05_Risk_Assessment"/>
  </cacheSource>
  <cacheFields count="6">
    <cacheField name="No." numFmtId="0">
      <sharedItems containsString="0" containsBlank="1" containsNumber="1" containsInteger="1" minValue="1" maxValue="7"/>
    </cacheField>
    <cacheField name="Description of Risk" numFmtId="0">
      <sharedItems containsBlank="1"/>
    </cacheField>
    <cacheField name="Risk Category" numFmtId="0">
      <sharedItems containsBlank="1" count="5">
        <s v="QR"/>
        <s v="TR"/>
        <s v="BR"/>
        <s v="RR"/>
        <m/>
      </sharedItems>
    </cacheField>
    <cacheField name="Impact" numFmtId="0">
      <sharedItems containsString="0" containsBlank="1" containsNumber="1" containsInteger="1" minValue="3" maxValue="5"/>
    </cacheField>
    <cacheField name="Probability" numFmtId="0">
      <sharedItems containsString="0" containsBlank="1" containsNumber="1" containsInteger="1" minValue="3" maxValue="4"/>
    </cacheField>
    <cacheField name="Overall Risk Value" numFmtId="0">
      <sharedItems containsString="0" containsBlank="1" containsNumber="1" containsInteger="1" minValue="9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gnazio Ingenito" refreshedDate="46156.915105208333" createdVersion="8" refreshedVersion="8" minRefreshableVersion="3" recordCount="54" xr:uid="{20C532A6-A14D-4C96-9FEE-C1A7234D3E24}">
  <cacheSource type="worksheet">
    <worksheetSource ref="A1:O55" sheet="03_Project_Plan"/>
  </cacheSource>
  <cacheFields count="15">
    <cacheField name="#" numFmtId="0">
      <sharedItems containsSemiMixedTypes="0" containsString="0" containsNumber="1" containsInteger="1" minValue="1" maxValue="54"/>
    </cacheField>
    <cacheField name="Area" numFmtId="0">
      <sharedItems count="10">
        <s v="Avvio e perimetro"/>
        <s v="Assessment AS-IS"/>
        <s v="Disegno TO-BE"/>
        <s v="Setup Ambienti"/>
        <s v="Normalizzazione"/>
        <s v="Elaborazioni"/>
        <s v="Dashboard e Output"/>
        <s v="Test e parallel run"/>
        <s v="Go live e hypercare"/>
        <s v="Evolutive opzionali"/>
      </sharedItems>
    </cacheField>
    <cacheField name="Attività" numFmtId="0">
      <sharedItems/>
    </cacheField>
    <cacheField name="Release" numFmtId="0">
      <sharedItems/>
    </cacheField>
    <cacheField name="Effort" numFmtId="0">
      <sharedItems containsSemiMixedTypes="0" containsString="0" containsNumber="1" containsInteger="1" minValue="1" maxValue="5"/>
    </cacheField>
    <cacheField name="Owner" numFmtId="0">
      <sharedItems/>
    </cacheField>
    <cacheField name="Completion %" numFmtId="0">
      <sharedItems containsSemiMixedTypes="0" containsString="0" containsNumber="1" containsInteger="1" minValue="0" maxValue="0"/>
    </cacheField>
    <cacheField name="Start Date" numFmtId="0">
      <sharedItems containsNonDate="0" containsString="0" containsBlank="1"/>
    </cacheField>
    <cacheField name="End Date" numFmtId="0">
      <sharedItems containsNonDate="0" containsString="0" containsBlank="1"/>
    </cacheField>
    <cacheField name="Duration" numFmtId="0">
      <sharedItems containsSemiMixedTypes="0" containsString="0" containsNumber="1" containsInteger="1" minValue="0" maxValue="0"/>
    </cacheField>
    <cacheField name="Actual" numFmtId="0">
      <sharedItems containsSemiMixedTypes="0" containsString="0" containsNumber="1" containsInteger="1" minValue="0" maxValue="0"/>
    </cacheField>
    <cacheField name="Task" numFmtId="0">
      <sharedItems/>
    </cacheField>
    <cacheField name="Issue Type" numFmtId="0">
      <sharedItems/>
    </cacheField>
    <cacheField name="Depends On" numFmtId="0">
      <sharedItems containsBlank="1"/>
    </cacheField>
    <cacheField name="Acceptance Criter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Non completezza degli swagger"/>
    <x v="0"/>
    <n v="3"/>
    <n v="3"/>
    <n v="9"/>
  </r>
  <r>
    <n v="2"/>
    <s v="API di test non disponibili entro la data del 17/07"/>
    <x v="1"/>
    <n v="3"/>
    <n v="3"/>
    <n v="9"/>
  </r>
  <r>
    <n v="3"/>
    <s v="API non funzionamenti e necessità di rework da parte di ING"/>
    <x v="0"/>
    <n v="5"/>
    <n v="4"/>
    <n v="20"/>
  </r>
  <r>
    <n v="4"/>
    <s v="Necessità di esecuzione dei SIT maggiore rispetto la pianificazione iniziale"/>
    <x v="1"/>
    <n v="4"/>
    <n v="4"/>
    <n v="16"/>
  </r>
  <r>
    <n v="5"/>
    <s v="Necessità di esecuzione dei UAT maggiore rispetto la pianificazione iniziale"/>
    <x v="1"/>
    <n v="4"/>
    <n v="4"/>
    <n v="16"/>
  </r>
  <r>
    <n v="6"/>
    <s v="Necessità di maggiore effort per analisi di dettaglio"/>
    <x v="2"/>
    <n v="4"/>
    <n v="4"/>
    <n v="16"/>
  </r>
  <r>
    <n v="7"/>
    <s v="Necessità di maggiori risorse per il supporto"/>
    <x v="3"/>
    <n v="3"/>
    <n v="3"/>
    <n v="9"/>
  </r>
  <r>
    <m/>
    <m/>
    <x v="4"/>
    <m/>
    <m/>
    <m/>
  </r>
  <r>
    <m/>
    <m/>
    <x v="4"/>
    <m/>
    <m/>
    <m/>
  </r>
  <r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1"/>
    <x v="0"/>
    <s v="Kick-off progetto e allineamento stakeholder"/>
    <s v="Fase 1"/>
    <n v="1"/>
    <s v="PM"/>
    <n v="0"/>
    <m/>
    <m/>
    <n v="0"/>
    <n v="0"/>
    <s v="CDG-001"/>
    <s v="Task"/>
    <m/>
    <s v="Kick-off eseguito, stakeholder e canali di governance confermati"/>
  </r>
  <r>
    <n v="2"/>
    <x v="0"/>
    <s v="Definizione perimetro funzionale e tecnico"/>
    <s v="Fase 1"/>
    <n v="1"/>
    <s v="PM/BA"/>
    <n v="0"/>
    <m/>
    <m/>
    <n v="0"/>
    <n v="0"/>
    <s v="CDG-002"/>
    <s v="Story"/>
    <s v="CDG-001"/>
    <s v="Perimetro condiviso e validato con business e IT"/>
  </r>
  <r>
    <n v="3"/>
    <x v="0"/>
    <s v="Raccolta documentazione esistente e asset di progetto"/>
    <s v="Fase 1"/>
    <n v="3"/>
    <s v="BA"/>
    <n v="0"/>
    <m/>
    <m/>
    <n v="0"/>
    <n v="0"/>
    <s v="CDG-003"/>
    <s v="Task"/>
    <s v="CDG-001"/>
    <s v="Documentazione raccolta in repository unico"/>
  </r>
  <r>
    <n v="4"/>
    <x v="0"/>
    <s v="Impostazione piano di lavoro e governance progetto"/>
    <s v="Fase 1"/>
    <n v="2"/>
    <s v="PM"/>
    <n v="0"/>
    <m/>
    <m/>
    <n v="0"/>
    <n v="0"/>
    <s v="CDG-004"/>
    <s v="Task"/>
    <s v="CDG-002"/>
    <s v="Piano di lavoro, meeting cadence e RAID log iniziale disponibili"/>
  </r>
  <r>
    <n v="5"/>
    <x v="1"/>
    <s v="Analisi fonti SAP, Jira/Tempo, CDG APP e tabelle mapping"/>
    <s v="Fase 1"/>
    <n v="5"/>
    <s v="BA/TL"/>
    <n v="0"/>
    <m/>
    <m/>
    <n v="0"/>
    <n v="0"/>
    <s v="CDG-005"/>
    <s v="Story"/>
    <s v="CDG-003"/>
    <s v="Fonti censite con owner, tracciati e modalità di accesso"/>
  </r>
  <r>
    <n v="6"/>
    <x v="1"/>
    <s v="Mappatura flussi input grezzi e dipendenze applicative"/>
    <s v="Fase 1"/>
    <n v="5"/>
    <s v="BA"/>
    <n v="0"/>
    <m/>
    <m/>
    <n v="0"/>
    <n v="0"/>
    <s v="CDG-006"/>
    <s v="Task"/>
    <s v="CDG-005"/>
    <s v="Flussi AS-IS disegnati e punti di controllo evidenziati"/>
  </r>
  <r>
    <n v="7"/>
    <x v="1"/>
    <s v="Analisi qualità dati e gap principali"/>
    <s v="Fase 1"/>
    <n v="3"/>
    <s v="BA/DEV"/>
    <n v="0"/>
    <m/>
    <m/>
    <n v="0"/>
    <n v="0"/>
    <s v="CDG-007"/>
    <s v="Task"/>
    <s v="CDG-005"/>
    <s v="Gap, anomalie ricorrenti e scarti potenziali documentati"/>
  </r>
  <r>
    <n v="8"/>
    <x v="1"/>
    <s v="Identificazione manualità, pain point e rischi operativi"/>
    <s v="Fase 1"/>
    <n v="1"/>
    <s v="BA/PM"/>
    <n v="0"/>
    <m/>
    <m/>
    <n v="0"/>
    <n v="0"/>
    <s v="CDG-008"/>
    <s v="Task"/>
    <s v="CDG-006"/>
    <s v="Pain point prioritizzati e validati con referenti CDG"/>
  </r>
  <r>
    <n v="9"/>
    <x v="1"/>
    <s v="Validazione assessment AS-IS"/>
    <s v="Fase 1"/>
    <n v="1"/>
    <s v="PM/CDG"/>
    <n v="0"/>
    <m/>
    <m/>
    <n v="0"/>
    <n v="0"/>
    <s v="CDG-009"/>
    <s v="Milestone"/>
    <s v="CDG-005, CDG-006, CDG-007, CDG-008"/>
    <s v="Verbale validazione AS-IS approvato"/>
  </r>
  <r>
    <n v="10"/>
    <x v="2"/>
    <s v="Disegno modello dati normalizzato"/>
    <s v="Fase 2"/>
    <n v="3"/>
    <s v="TL/BA"/>
    <n v="0"/>
    <m/>
    <m/>
    <n v="0"/>
    <n v="0"/>
    <s v="CDG-010"/>
    <s v="Story"/>
    <s v="CDG-009"/>
    <s v="Modello logico normalizzato approvato"/>
  </r>
  <r>
    <n v="11"/>
    <x v="2"/>
    <s v="Definizione regole di normalizzazione"/>
    <s v="Fase 2"/>
    <n v="3"/>
    <s v="BA/TL"/>
    <n v="0"/>
    <m/>
    <m/>
    <n v="0"/>
    <n v="0"/>
    <s v="CDG-011"/>
    <s v="Story"/>
    <s v="CDG-010"/>
    <s v="Regole documentate con input, output, eccezioni"/>
  </r>
  <r>
    <n v="12"/>
    <x v="2"/>
    <s v="Definizione regole di arricchimento e ribaltamento costi"/>
    <s v="Fase 2"/>
    <n v="5"/>
    <s v="BA/CDG"/>
    <n v="0"/>
    <m/>
    <m/>
    <n v="0"/>
    <n v="0"/>
    <s v="CDG-012"/>
    <s v="Story"/>
    <s v="CDG-010"/>
    <s v="Regole di calcolo e criteri di ribaltamento validati"/>
  </r>
  <r>
    <n v="13"/>
    <x v="2"/>
    <s v="Definizione validità temporale mapping e storicizzazione regole"/>
    <s v="Fase 2"/>
    <n v="3"/>
    <s v="BA/TL"/>
    <n v="0"/>
    <m/>
    <m/>
    <n v="0"/>
    <n v="0"/>
    <s v="CDG-013"/>
    <s v="Task"/>
    <s v="CDG-011"/>
    <s v="Gestione date inizio/fine validità descritta e testabile"/>
  </r>
  <r>
    <n v="14"/>
    <x v="2"/>
    <s v="Disegno controlli, quadrature e data quality"/>
    <s v="Fase 2"/>
    <n v="3"/>
    <s v="BA/TL"/>
    <n v="0"/>
    <m/>
    <m/>
    <n v="0"/>
    <n v="0"/>
    <s v="CDG-014"/>
    <s v="Task"/>
    <s v="CDG-012"/>
    <s v="Matrice controlli disponibile con soglie e owner"/>
  </r>
  <r>
    <n v="15"/>
    <x v="2"/>
    <s v="Disegno profili, ownership dati e sicurezza accessi"/>
    <s v="Fase 2"/>
    <n v="1"/>
    <s v="TL/PM"/>
    <n v="0"/>
    <m/>
    <m/>
    <n v="0"/>
    <n v="0"/>
    <s v="CDG-015"/>
    <s v="Task"/>
    <s v="CDG-009"/>
    <s v="Matrice ruoli/accessi e ownership dati confermata"/>
  </r>
  <r>
    <n v="16"/>
    <x v="2"/>
    <s v="Validazione disegno TO-BE"/>
    <s v="Fase 2"/>
    <n v="1"/>
    <s v="PM/CDG"/>
    <n v="0"/>
    <m/>
    <m/>
    <n v="0"/>
    <n v="0"/>
    <s v="CDG-016"/>
    <s v="Milestone"/>
    <s v="CDG-010, CDG-011, CDG-012, CDG-013, CDG-014, CDG-015"/>
    <s v="Blueprint TO-BE approvato"/>
  </r>
  <r>
    <n v="17"/>
    <x v="3"/>
    <s v="Setup ambienti dev/test/prod"/>
    <s v="Fase 2"/>
    <n v="3"/>
    <s v="DEV/TL"/>
    <n v="0"/>
    <m/>
    <m/>
    <n v="0"/>
    <n v="0"/>
    <s v="CDG-017"/>
    <s v="Task"/>
    <s v="CDG-016"/>
    <s v="Ambienti disponibili e accessibili"/>
  </r>
  <r>
    <n v="18"/>
    <x v="3"/>
    <s v="Configurazione staging area e pipeline dati"/>
    <s v="Fase 2"/>
    <n v="3"/>
    <s v="DEV"/>
    <n v="0"/>
    <m/>
    <m/>
    <n v="0"/>
    <n v="0"/>
    <s v="CDG-018"/>
    <s v="Story"/>
    <s v="CDG-017"/>
    <s v="Pipeline base attiva con caricamento dati di test"/>
  </r>
  <r>
    <n v="19"/>
    <x v="3"/>
    <s v="Configurazione batch notturni e schedulazione"/>
    <s v="Fase 2"/>
    <n v="3"/>
    <s v="DEV"/>
    <n v="0"/>
    <m/>
    <m/>
    <n v="0"/>
    <n v="0"/>
    <s v="CDG-019"/>
    <s v="Task"/>
    <s v="CDG-018"/>
    <s v="Schedulazione configurata con esito monitorabile"/>
  </r>
  <r>
    <n v="20"/>
    <x v="3"/>
    <s v="Logging tecnico e monitoraggio applicativo"/>
    <s v="Fase 2"/>
    <n v="3"/>
    <s v="DEV/TL"/>
    <n v="0"/>
    <m/>
    <m/>
    <n v="0"/>
    <n v="0"/>
    <s v="CDG-020"/>
    <s v="Task"/>
    <s v="CDG-018"/>
    <s v="Log applicativi e stato batch consultabili"/>
  </r>
  <r>
    <n v="21"/>
    <x v="3"/>
    <s v="Gestione profili e accessi applicativi"/>
    <s v="Fase 2"/>
    <n v="1"/>
    <s v="TL/PM"/>
    <n v="0"/>
    <m/>
    <m/>
    <n v="0"/>
    <n v="0"/>
    <s v="CDG-021"/>
    <s v="Task"/>
    <s v="CDG-015, CDG-017"/>
    <s v="Profili minimi configurati per team progetto e key user"/>
  </r>
  <r>
    <n v="22"/>
    <x v="4"/>
    <s v="Import dati da SAP"/>
    <s v="Fase 2"/>
    <n v="5"/>
    <s v="DEV"/>
    <n v="0"/>
    <m/>
    <m/>
    <n v="0"/>
    <n v="0"/>
    <s v="CDG-022"/>
    <s v="Story"/>
    <s v="CDG-018"/>
    <s v="Dati SAP caricati in staging con log esito"/>
  </r>
  <r>
    <n v="23"/>
    <x v="4"/>
    <s v="Import dati da Jira/Tempo"/>
    <s v="Fase 2"/>
    <n v="4"/>
    <s v="DEV"/>
    <n v="0"/>
    <m/>
    <m/>
    <n v="0"/>
    <n v="0"/>
    <s v="CDG-023"/>
    <s v="Story"/>
    <s v="CDG-018"/>
    <s v="Dati Jira/Tempo caricati in staging con log esito"/>
  </r>
  <r>
    <n v="24"/>
    <x v="4"/>
    <s v="Import dati da CDG APP"/>
    <s v="Fase 2"/>
    <n v="4"/>
    <s v="DEV"/>
    <n v="0"/>
    <m/>
    <m/>
    <n v="0"/>
    <n v="0"/>
    <s v="CDG-024"/>
    <s v="Story"/>
    <s v="CDG-018"/>
    <s v="Dati CDG APP caricati in staging con log esito"/>
  </r>
  <r>
    <n v="25"/>
    <x v="4"/>
    <s v="Implementazione normalizzazione e mapping"/>
    <s v="Fase 2"/>
    <n v="5"/>
    <s v="DEV/BA"/>
    <n v="0"/>
    <m/>
    <m/>
    <n v="0"/>
    <n v="0"/>
    <s v="CDG-025"/>
    <s v="Story"/>
    <s v="CDG-011, CDG-022, CDG-023, CDG-024"/>
    <s v="Dataset normalizzato prodotto secondo regole TO-BE"/>
  </r>
  <r>
    <n v="26"/>
    <x v="4"/>
    <s v="Gestione scarti e anomalie di normalizzazione"/>
    <s v="Fase 2"/>
    <n v="3"/>
    <s v="DEV/BA"/>
    <n v="0"/>
    <m/>
    <m/>
    <n v="0"/>
    <n v="0"/>
    <s v="CDG-026"/>
    <s v="Task"/>
    <s v="CDG-025"/>
    <s v="Scarti tracciati con motivazione e report consultabile"/>
  </r>
  <r>
    <n v="27"/>
    <x v="4"/>
    <s v="Storicizzazione input grezzi e dati normalizzati"/>
    <s v="Fase 2"/>
    <n v="3"/>
    <s v="DEV"/>
    <n v="0"/>
    <m/>
    <m/>
    <n v="0"/>
    <n v="0"/>
    <s v="CDG-027"/>
    <s v="Task"/>
    <s v="CDG-025"/>
    <s v="Input e output normalizzati storicizzati per periodo"/>
  </r>
  <r>
    <n v="28"/>
    <x v="4"/>
    <s v="Validazione normalizzazione con utenti CDG"/>
    <s v="Fase 2"/>
    <n v="3"/>
    <s v="BA/CDG"/>
    <n v="0"/>
    <m/>
    <m/>
    <n v="0"/>
    <n v="0"/>
    <s v="CDG-028"/>
    <s v="Milestone"/>
    <s v="CDG-025, CDG-026, CDG-027"/>
    <s v="Campione dati normalizzati approvato dagli utenti CDG"/>
  </r>
  <r>
    <n v="29"/>
    <x v="5"/>
    <s v="Implementazione regole di arricchimento"/>
    <s v="Fase 2"/>
    <n v="5"/>
    <s v="DEV/BA"/>
    <n v="0"/>
    <m/>
    <m/>
    <n v="0"/>
    <n v="0"/>
    <s v="CDG-029"/>
    <s v="Story"/>
    <s v="CDG-012, CDG-028"/>
    <s v="Dati arricchiti secondo specifiche approvate"/>
  </r>
  <r>
    <n v="30"/>
    <x v="5"/>
    <s v="Implementazione ribaltamento costi"/>
    <s v="Fase 2"/>
    <n v="5"/>
    <s v="DEV/BA"/>
    <n v="0"/>
    <m/>
    <m/>
    <n v="0"/>
    <n v="0"/>
    <s v="CDG-030"/>
    <s v="Story"/>
    <s v="CDG-029"/>
    <s v="Costi ribaltati secondo regole e mapping validi per periodo"/>
  </r>
  <r>
    <n v="31"/>
    <x v="5"/>
    <s v="Gestione versioning e storicizzazione regole"/>
    <s v="Fase 2"/>
    <n v="3"/>
    <s v="DEV/TL"/>
    <n v="0"/>
    <m/>
    <m/>
    <n v="0"/>
    <n v="0"/>
    <s v="CDG-031"/>
    <s v="Task"/>
    <s v="CDG-013, CDG-030"/>
    <s v="Regole versionate e ricostruibili per periodo elaborato"/>
  </r>
  <r>
    <n v="32"/>
    <x v="5"/>
    <s v="Implementazione quadrature fonte vs output"/>
    <s v="Fase 2"/>
    <n v="3"/>
    <s v="DEV/BA"/>
    <n v="0"/>
    <m/>
    <m/>
    <n v="0"/>
    <n v="0"/>
    <s v="CDG-032"/>
    <s v="Task"/>
    <s v="CDG-014, CDG-030"/>
    <s v="Quadrature automatiche con soglie e dettaglio differenze"/>
  </r>
  <r>
    <n v="33"/>
    <x v="5"/>
    <s v="Audit trail elaborazioni e lineage dati"/>
    <s v="Fase 2"/>
    <n v="3"/>
    <s v="DEV/TL"/>
    <n v="0"/>
    <m/>
    <m/>
    <n v="0"/>
    <n v="0"/>
    <s v="CDG-033"/>
    <s v="Task"/>
    <s v="CDG-031, CDG-032"/>
    <s v="Ogni output è riconducibile a input, regola e run elaborativo"/>
  </r>
  <r>
    <n v="34"/>
    <x v="5"/>
    <s v="Validazione elaborazioni e quadrature CDG"/>
    <s v="Fase 2"/>
    <n v="3"/>
    <s v="BA/CDG"/>
    <n v="0"/>
    <m/>
    <m/>
    <n v="0"/>
    <n v="0"/>
    <s v="CDG-034"/>
    <s v="Milestone"/>
    <s v="CDG-030, CDG-032, CDG-033"/>
    <s v="Quadrature e ribaltamenti approvati dal business"/>
  </r>
  <r>
    <n v="35"/>
    <x v="6"/>
    <s v="Raccolta requisiti dashboard CDG"/>
    <s v="Fase 2"/>
    <n v="3"/>
    <s v="BA/CDG"/>
    <n v="0"/>
    <m/>
    <m/>
    <n v="0"/>
    <n v="0"/>
    <s v="CDG-035"/>
    <s v="Story"/>
    <s v="CDG-016"/>
    <s v="KPI, filtri, viste e profili di visibilità definiti"/>
  </r>
  <r>
    <n v="36"/>
    <x v="6"/>
    <s v="Implementazione dashboard CDG"/>
    <s v="Fase 2"/>
    <n v="5"/>
    <s v="DEV/BA"/>
    <n v="0"/>
    <m/>
    <m/>
    <n v="0"/>
    <n v="0"/>
    <s v="CDG-036"/>
    <s v="Story"/>
    <s v="CDG-035"/>
    <s v="Dashboard navigabile con dati elaborati e filtri concordati"/>
  </r>
  <r>
    <n v="37"/>
    <x v="6"/>
    <s v="Implementazione dashboard tecnica batch"/>
    <s v="Fase 2"/>
    <n v="3"/>
    <s v="DEV/TL"/>
    <n v="0"/>
    <m/>
    <m/>
    <n v="0"/>
    <n v="0"/>
    <s v="CDG-037"/>
    <s v="Task"/>
    <s v="CDG-020, CDG-036"/>
    <s v="Stato batch, errori, durata run e ultimo caricamento visibili"/>
  </r>
  <r>
    <n v="38"/>
    <x v="6"/>
    <s v="Configurazione notifiche mail esito elaborazioni"/>
    <s v="Fase 2"/>
    <n v="2"/>
    <s v="DEV"/>
    <n v="0"/>
    <m/>
    <m/>
    <n v="0"/>
    <n v="0"/>
    <s v="CDG-038"/>
    <s v="Task"/>
    <s v="CDG-019, CDG-037"/>
    <s v="Notifiche inviate per success/failure e anomalie principali"/>
  </r>
  <r>
    <n v="39"/>
    <x v="6"/>
    <s v="Performance e UX review dashboard"/>
    <s v="Fase 2"/>
    <n v="3"/>
    <s v="BA/DEV"/>
    <n v="0"/>
    <m/>
    <m/>
    <n v="0"/>
    <n v="0"/>
    <s v="CDG-039"/>
    <s v="Task"/>
    <s v="CDG-036"/>
    <s v="Tempi risposta e usabilità validati con key user"/>
  </r>
  <r>
    <n v="40"/>
    <x v="6"/>
    <s v="Validazione output e dashboard"/>
    <s v="Fase 2"/>
    <n v="3"/>
    <s v="BA/CDG"/>
    <n v="0"/>
    <m/>
    <m/>
    <n v="0"/>
    <n v="0"/>
    <s v="CDG-040"/>
    <s v="Milestone"/>
    <s v="CDG-036, CDG-037, CDG-038, CDG-039"/>
    <s v="Output dashboard approvati per UAT"/>
  </r>
  <r>
    <n v="41"/>
    <x v="7"/>
    <s v="Preparazione test plan e casi UAT"/>
    <s v="Fase 2"/>
    <n v="2"/>
    <s v="BA/PM"/>
    <n v="0"/>
    <m/>
    <m/>
    <n v="0"/>
    <n v="0"/>
    <s v="CDG-041"/>
    <s v="Task"/>
    <s v="CDG-034, CDG-040"/>
    <s v="Test plan approvato con scenari prioritari e dati campione"/>
  </r>
  <r>
    <n v="42"/>
    <x v="7"/>
    <s v="Esecuzione UAT con key user"/>
    <s v="Fase 2"/>
    <n v="5"/>
    <s v="BA/CDG"/>
    <n v="0"/>
    <m/>
    <m/>
    <n v="0"/>
    <n v="0"/>
    <s v="CDG-042"/>
    <s v="Story"/>
    <s v="CDG-041"/>
    <s v="Evidenze UAT raccolte e difetti tracciati"/>
  </r>
  <r>
    <n v="43"/>
    <x v="7"/>
    <s v="Parallel run su periodo campione"/>
    <s v="Fase 2"/>
    <n v="5"/>
    <s v="BA/DEV/CDG"/>
    <n v="0"/>
    <m/>
    <m/>
    <n v="0"/>
    <n v="0"/>
    <s v="CDG-043"/>
    <s v="Story"/>
    <s v="CDG-034, CDG-041"/>
    <s v="Nuovo processo confrontato con processo attuale"/>
  </r>
  <r>
    <n v="44"/>
    <x v="7"/>
    <s v="Riconciliazione differenze e correzioni prioritarie"/>
    <s v="Fase 2"/>
    <n v="5"/>
    <s v="BA/DEV"/>
    <n v="0"/>
    <m/>
    <m/>
    <n v="0"/>
    <n v="0"/>
    <s v="CDG-044"/>
    <s v="Task"/>
    <s v="CDG-042, CDG-043"/>
    <s v="Differenze motivate o corrette; blocker azzerati"/>
  </r>
  <r>
    <n v="45"/>
    <x v="7"/>
    <s v="Definizione cut-over e freeze periodi chiusi"/>
    <s v="Fase 2"/>
    <n v="1"/>
    <s v="PM/BA"/>
    <n v="0"/>
    <m/>
    <m/>
    <n v="0"/>
    <n v="0"/>
    <s v="CDG-045"/>
    <s v="Task"/>
    <s v="CDG-044"/>
    <s v="Piano cut-over approvato, criteri freeze definiti"/>
  </r>
  <r>
    <n v="46"/>
    <x v="7"/>
    <s v="Go-live readiness review"/>
    <s v="Fase 2"/>
    <n v="1"/>
    <s v="PM/CDG"/>
    <n v="0"/>
    <m/>
    <m/>
    <n v="0"/>
    <n v="0"/>
    <s v="CDG-046"/>
    <s v="Milestone"/>
    <s v="CDG-042, CDG-043, CDG-044, CDG-045"/>
    <s v="Go/no-go formalizzato"/>
  </r>
  <r>
    <n v="47"/>
    <x v="8"/>
    <s v="Redazione runbook operativo"/>
    <s v="Fase 2"/>
    <n v="1"/>
    <s v="BA/TL"/>
    <n v="0"/>
    <m/>
    <m/>
    <n v="0"/>
    <n v="0"/>
    <s v="CDG-047"/>
    <s v="Task"/>
    <s v="CDG-046"/>
    <s v="Runbook disponibile con procedure ordinarie, errori e recovery"/>
  </r>
  <r>
    <n v="48"/>
    <x v="8"/>
    <s v="Formazione utenti e handover operativo"/>
    <s v="Fase 2"/>
    <n v="3"/>
    <s v="BA/PM"/>
    <n v="0"/>
    <m/>
    <m/>
    <n v="0"/>
    <n v="0"/>
    <s v="CDG-048"/>
    <s v="Task"/>
    <s v="CDG-047"/>
    <s v="Sessioni formative completate e materiali condivisi"/>
  </r>
  <r>
    <n v="49"/>
    <x v="8"/>
    <s v="Go-live controllato"/>
    <s v="Fase 2"/>
    <n v="2"/>
    <s v="PM/TL/DEV"/>
    <n v="0"/>
    <m/>
    <m/>
    <n v="0"/>
    <n v="0"/>
    <s v="CDG-049"/>
    <s v="Milestone"/>
    <s v="CDG-046, CDG-047, CDG-048"/>
    <s v="Sistema in esercizio e primo run completato"/>
  </r>
  <r>
    <n v="50"/>
    <x v="8"/>
    <s v="Supporto primo ciclo di chiusura"/>
    <s v="Fase 2"/>
    <n v="5"/>
    <s v="BA/DEV"/>
    <n v="0"/>
    <m/>
    <m/>
    <n v="0"/>
    <n v="0"/>
    <s v="CDG-050"/>
    <s v="Task"/>
    <s v="CDG-049"/>
    <s v="Primo ciclo supportato, issue classificate e risolte o pianificate"/>
  </r>
  <r>
    <n v="51"/>
    <x v="8"/>
    <s v="Consolidamento backlog evolutive post go-live"/>
    <s v="Fase 2"/>
    <n v="2"/>
    <s v="PM/BA"/>
    <n v="0"/>
    <m/>
    <m/>
    <n v="0"/>
    <n v="0"/>
    <s v="CDG-051"/>
    <s v="Task"/>
    <s v="CDG-050"/>
    <s v="Backlog evolutive prioritizzato con business"/>
  </r>
  <r>
    <n v="52"/>
    <x v="9"/>
    <s v="Assessment porting dati HR su CDG APP"/>
    <s v="Fase 3"/>
    <n v="3"/>
    <s v="BA/TL"/>
    <n v="0"/>
    <m/>
    <m/>
    <n v="0"/>
    <n v="0"/>
    <s v="CDG-052"/>
    <s v="Spike"/>
    <s v="CDG-051"/>
    <s v="Perimetro HR, privacy e dati necessari chiariti"/>
  </r>
  <r>
    <n v="53"/>
    <x v="9"/>
    <s v="POC AI per anomaly detection sui controlli"/>
    <s v="Fase 3"/>
    <n v="5"/>
    <s v="DEV/BA"/>
    <n v="0"/>
    <m/>
    <m/>
    <n v="0"/>
    <n v="0"/>
    <s v="CDG-053"/>
    <s v="Spike"/>
    <s v="CDG-034, CDG-052"/>
    <s v="POC produce suggerimenti spiegabili su anomalie note"/>
  </r>
  <r>
    <n v="54"/>
    <x v="9"/>
    <s v="Disegno notifiche evolute e automazioni avanzate"/>
    <s v="Fase 3"/>
    <n v="3"/>
    <s v="BA/DEV"/>
    <n v="0"/>
    <m/>
    <m/>
    <n v="0"/>
    <n v="0"/>
    <s v="CDG-054"/>
    <s v="Task"/>
    <s v="CDG-038, CDG-053"/>
    <s v="Automazioni candidate descritte con valore e complessit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A649-B5E6-41AF-BC1B-49D7174AE7C3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isk Category">
  <location ref="A15:B20" firstHeaderRow="1" firstDataRow="1" firstDataCol="1"/>
  <pivotFields count="6"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verall Risk Value" fld="5" baseField="0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field="2" type="button" dataOnly="0" labelOnly="1" outline="0" axis="axisRow" fieldPosition="0"/>
    </format>
    <format dxfId="12">
      <pivotArea dataOnly="0" labelOnly="1" outline="0" axis="axisValues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BCE82-B0A2-4B43-B8D4-D7015543BDE5}" name="Tabella pivot2" cacheId="18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4" firstHeaderRow="1" firstDataRow="1" firstDataCol="1"/>
  <pivotFields count="15">
    <pivotField showAll="0"/>
    <pivotField axis="axisRow" showAll="0">
      <items count="11">
        <item x="1"/>
        <item x="0"/>
        <item x="6"/>
        <item x="2"/>
        <item x="5"/>
        <item x="9"/>
        <item x="8"/>
        <item x="4"/>
        <item x="3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a di Effor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4-27T15:19:28.35" personId="{BC62601D-39F1-4D63-BA18-02DF07D2BB29}" id="{CBBAFE7F-89D6-4450-99C9-08EB4917069D}">
    <text>+30.000 licenze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322A-829F-4F66-BF76-973DDC261B9E}">
  <dimension ref="A1:C9"/>
  <sheetViews>
    <sheetView zoomScale="102" zoomScaleNormal="100" workbookViewId="0">
      <selection activeCell="B24" sqref="B24"/>
    </sheetView>
  </sheetViews>
  <sheetFormatPr defaultColWidth="9.109375" defaultRowHeight="15.6" x14ac:dyDescent="0.3"/>
  <cols>
    <col min="1" max="1" width="35.21875" style="1" customWidth="1"/>
    <col min="2" max="2" width="108.44140625" style="1" customWidth="1"/>
    <col min="3" max="3" width="20.88671875" style="1" customWidth="1"/>
    <col min="4" max="16384" width="9.109375" style="1"/>
  </cols>
  <sheetData>
    <row r="1" spans="1:3" x14ac:dyDescent="0.3">
      <c r="A1" s="25" t="s">
        <v>18</v>
      </c>
      <c r="B1" s="25" t="s">
        <v>1</v>
      </c>
      <c r="C1" s="25" t="s">
        <v>14</v>
      </c>
    </row>
    <row r="2" spans="1:3" ht="19.8" x14ac:dyDescent="0.3">
      <c r="A2" s="75" t="s">
        <v>107</v>
      </c>
      <c r="B2" s="75" t="s">
        <v>99</v>
      </c>
      <c r="C2" s="74"/>
    </row>
    <row r="3" spans="1:3" ht="19.8" x14ac:dyDescent="0.3">
      <c r="A3" s="75" t="s">
        <v>108</v>
      </c>
      <c r="B3" s="75" t="s">
        <v>100</v>
      </c>
    </row>
    <row r="4" spans="1:3" ht="19.8" x14ac:dyDescent="0.3">
      <c r="A4" s="75" t="s">
        <v>109</v>
      </c>
      <c r="B4" s="75" t="s">
        <v>101</v>
      </c>
    </row>
    <row r="5" spans="1:3" ht="19.8" x14ac:dyDescent="0.7">
      <c r="A5" s="76" t="s">
        <v>110</v>
      </c>
      <c r="B5" s="76" t="s">
        <v>102</v>
      </c>
    </row>
    <row r="6" spans="1:3" ht="19.8" x14ac:dyDescent="0.7">
      <c r="A6" s="76" t="s">
        <v>111</v>
      </c>
      <c r="B6" s="76" t="s">
        <v>103</v>
      </c>
    </row>
    <row r="7" spans="1:3" ht="19.8" x14ac:dyDescent="0.7">
      <c r="A7" s="76" t="s">
        <v>112</v>
      </c>
      <c r="B7" s="76" t="s">
        <v>104</v>
      </c>
    </row>
    <row r="8" spans="1:3" ht="19.8" x14ac:dyDescent="0.7">
      <c r="A8" s="76" t="s">
        <v>113</v>
      </c>
      <c r="B8" s="76" t="s">
        <v>105</v>
      </c>
    </row>
    <row r="9" spans="1:3" ht="19.8" x14ac:dyDescent="0.7">
      <c r="A9" s="76" t="s">
        <v>114</v>
      </c>
      <c r="B9" s="76" t="s">
        <v>106</v>
      </c>
    </row>
  </sheetData>
  <autoFilter ref="A1:C1" xr:uid="{9598322A-829F-4F66-BF76-973DDC261B9E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B4DDF-5417-45F5-9237-A8914CDD267C}">
  <dimension ref="A1:H10"/>
  <sheetViews>
    <sheetView zoomScale="144" zoomScaleNormal="100" workbookViewId="0">
      <selection activeCell="C12" sqref="C12"/>
    </sheetView>
  </sheetViews>
  <sheetFormatPr defaultColWidth="19.33203125" defaultRowHeight="15.6" x14ac:dyDescent="0.3"/>
  <cols>
    <col min="1" max="1" width="10.5546875" style="78" customWidth="1"/>
    <col min="2" max="2" width="54.88671875" style="1" bestFit="1" customWidth="1"/>
    <col min="3" max="7" width="19.33203125" style="1"/>
    <col min="8" max="8" width="22.77734375" style="1" bestFit="1" customWidth="1"/>
    <col min="9" max="16384" width="19.33203125" style="1"/>
  </cols>
  <sheetData>
    <row r="1" spans="1:8" s="77" customFormat="1" x14ac:dyDescent="0.3">
      <c r="A1" s="25" t="s">
        <v>19</v>
      </c>
      <c r="B1" s="25" t="s">
        <v>63</v>
      </c>
      <c r="C1" s="25" t="s">
        <v>2</v>
      </c>
      <c r="D1" s="25" t="s">
        <v>18</v>
      </c>
      <c r="E1" s="25" t="s">
        <v>12</v>
      </c>
      <c r="F1" s="25" t="s">
        <v>64</v>
      </c>
      <c r="G1" s="25" t="s">
        <v>65</v>
      </c>
      <c r="H1" s="25" t="s">
        <v>134</v>
      </c>
    </row>
    <row r="2" spans="1:8" s="78" customFormat="1" x14ac:dyDescent="0.3">
      <c r="A2" s="78" t="s">
        <v>54</v>
      </c>
      <c r="B2" s="79" t="s">
        <v>115</v>
      </c>
      <c r="C2" s="79" t="s">
        <v>98</v>
      </c>
      <c r="E2" s="78" t="s">
        <v>13</v>
      </c>
      <c r="H2" s="79" t="s">
        <v>116</v>
      </c>
    </row>
    <row r="3" spans="1:8" s="78" customFormat="1" x14ac:dyDescent="0.3">
      <c r="A3" s="78" t="s">
        <v>55</v>
      </c>
      <c r="B3" s="79" t="s">
        <v>117</v>
      </c>
      <c r="C3" s="79" t="s">
        <v>98</v>
      </c>
      <c r="E3" s="78" t="s">
        <v>13</v>
      </c>
      <c r="H3" s="79" t="s">
        <v>118</v>
      </c>
    </row>
    <row r="4" spans="1:8" s="78" customFormat="1" x14ac:dyDescent="0.3">
      <c r="A4" s="78" t="s">
        <v>56</v>
      </c>
      <c r="B4" s="79" t="s">
        <v>119</v>
      </c>
      <c r="C4" s="79" t="s">
        <v>98</v>
      </c>
      <c r="E4" s="78" t="s">
        <v>13</v>
      </c>
      <c r="H4" s="79" t="s">
        <v>120</v>
      </c>
    </row>
    <row r="5" spans="1:8" s="78" customFormat="1" x14ac:dyDescent="0.3">
      <c r="A5" s="78" t="s">
        <v>57</v>
      </c>
      <c r="B5" s="79" t="s">
        <v>121</v>
      </c>
      <c r="C5" s="79" t="s">
        <v>122</v>
      </c>
      <c r="E5" s="78" t="s">
        <v>13</v>
      </c>
      <c r="H5" s="79" t="s">
        <v>123</v>
      </c>
    </row>
    <row r="6" spans="1:8" s="78" customFormat="1" x14ac:dyDescent="0.3">
      <c r="A6" s="78" t="s">
        <v>58</v>
      </c>
      <c r="B6" s="79" t="s">
        <v>124</v>
      </c>
      <c r="C6" s="79" t="s">
        <v>122</v>
      </c>
      <c r="E6" s="78" t="s">
        <v>13</v>
      </c>
      <c r="H6" s="79" t="s">
        <v>125</v>
      </c>
    </row>
    <row r="7" spans="1:8" s="78" customFormat="1" x14ac:dyDescent="0.3">
      <c r="A7" s="78" t="s">
        <v>59</v>
      </c>
      <c r="B7" s="79" t="s">
        <v>126</v>
      </c>
      <c r="C7" s="79" t="s">
        <v>98</v>
      </c>
      <c r="E7" s="78" t="s">
        <v>13</v>
      </c>
      <c r="H7" s="79" t="s">
        <v>127</v>
      </c>
    </row>
    <row r="8" spans="1:8" s="78" customFormat="1" x14ac:dyDescent="0.3">
      <c r="A8" s="78" t="s">
        <v>60</v>
      </c>
      <c r="B8" s="79" t="s">
        <v>128</v>
      </c>
      <c r="C8" s="79" t="s">
        <v>122</v>
      </c>
      <c r="E8" s="78" t="s">
        <v>13</v>
      </c>
      <c r="H8" s="79" t="s">
        <v>129</v>
      </c>
    </row>
    <row r="9" spans="1:8" s="78" customFormat="1" x14ac:dyDescent="0.3">
      <c r="A9" s="78" t="s">
        <v>61</v>
      </c>
      <c r="B9" s="79" t="s">
        <v>130</v>
      </c>
      <c r="C9" s="79" t="s">
        <v>122</v>
      </c>
      <c r="E9" s="78" t="s">
        <v>13</v>
      </c>
      <c r="H9" s="79" t="s">
        <v>131</v>
      </c>
    </row>
    <row r="10" spans="1:8" s="78" customFormat="1" x14ac:dyDescent="0.3">
      <c r="A10" s="78" t="s">
        <v>62</v>
      </c>
      <c r="B10" s="79" t="s">
        <v>132</v>
      </c>
      <c r="C10" s="79" t="s">
        <v>135</v>
      </c>
      <c r="E10" s="78" t="s">
        <v>13</v>
      </c>
      <c r="H10" s="79" t="s">
        <v>133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63B4-B02B-40FC-859A-E239180429F7}">
  <dimension ref="A1:O55"/>
  <sheetViews>
    <sheetView tabSelected="1" zoomScale="99" zoomScaleNormal="180" workbookViewId="0">
      <selection activeCell="E10" sqref="E10"/>
    </sheetView>
  </sheetViews>
  <sheetFormatPr defaultColWidth="19.109375" defaultRowHeight="19.8" x14ac:dyDescent="0.7"/>
  <cols>
    <col min="1" max="1" width="3.77734375" style="84" bestFit="1" customWidth="1"/>
    <col min="2" max="2" width="20.88671875" style="84" bestFit="1" customWidth="1"/>
    <col min="3" max="3" width="62" style="84" bestFit="1" customWidth="1"/>
    <col min="4" max="4" width="13" style="83" bestFit="1" customWidth="1"/>
    <col min="5" max="5" width="10.77734375" style="83" bestFit="1" customWidth="1"/>
    <col min="6" max="6" width="11.88671875" style="83" bestFit="1" customWidth="1"/>
    <col min="7" max="7" width="19.109375" style="83" bestFit="1" customWidth="1"/>
    <col min="8" max="8" width="15.21875" style="83" bestFit="1" customWidth="1"/>
    <col min="9" max="9" width="14" style="83" bestFit="1" customWidth="1"/>
    <col min="10" max="10" width="14" style="86" bestFit="1" customWidth="1"/>
    <col min="11" max="11" width="12.109375" style="83" bestFit="1" customWidth="1"/>
    <col min="12" max="12" width="19.109375" style="84"/>
    <col min="13" max="13" width="12" customWidth="1"/>
    <col min="14" max="14" width="55.109375" style="84" bestFit="1" customWidth="1"/>
    <col min="15" max="15" width="63.6640625" style="84" bestFit="1" customWidth="1"/>
    <col min="16" max="16384" width="19.109375" style="84"/>
  </cols>
  <sheetData>
    <row r="1" spans="1:15" s="81" customFormat="1" x14ac:dyDescent="0.7">
      <c r="A1" s="80" t="s">
        <v>26</v>
      </c>
      <c r="B1" s="80" t="s">
        <v>23</v>
      </c>
      <c r="C1" s="80" t="s">
        <v>27</v>
      </c>
      <c r="D1" s="80" t="s">
        <v>18</v>
      </c>
      <c r="E1" s="80" t="s">
        <v>22</v>
      </c>
      <c r="F1" s="80" t="s">
        <v>2</v>
      </c>
      <c r="G1" s="80" t="s">
        <v>21</v>
      </c>
      <c r="H1" s="80" t="s">
        <v>29</v>
      </c>
      <c r="I1" s="80" t="s">
        <v>30</v>
      </c>
      <c r="J1" s="85" t="s">
        <v>20</v>
      </c>
      <c r="K1" s="80" t="s">
        <v>24</v>
      </c>
      <c r="L1" s="80" t="s">
        <v>214</v>
      </c>
      <c r="M1" s="80" t="s">
        <v>263</v>
      </c>
      <c r="N1" s="80" t="s">
        <v>267</v>
      </c>
      <c r="O1" s="87" t="s">
        <v>268</v>
      </c>
    </row>
    <row r="2" spans="1:15" x14ac:dyDescent="0.7">
      <c r="A2" s="82">
        <v>1</v>
      </c>
      <c r="B2" s="84" t="s">
        <v>136</v>
      </c>
      <c r="C2" s="84" t="s">
        <v>137</v>
      </c>
      <c r="D2" s="84" t="s">
        <v>199</v>
      </c>
      <c r="E2" s="84">
        <v>1</v>
      </c>
      <c r="F2" s="84" t="s">
        <v>51</v>
      </c>
      <c r="G2" s="84">
        <v>0</v>
      </c>
      <c r="H2" s="84"/>
      <c r="I2" s="84"/>
      <c r="J2" s="86">
        <f>IF(AND(H2&lt;&gt;"",I2&lt;&gt;""),NETWORKDAYS(H2,I2),0)</f>
        <v>0</v>
      </c>
      <c r="K2" s="83">
        <f>IFERROR(E2*G2,0)</f>
        <v>0</v>
      </c>
      <c r="L2" s="84" t="s">
        <v>215</v>
      </c>
      <c r="M2" s="84" t="s">
        <v>214</v>
      </c>
      <c r="O2" s="84" t="s">
        <v>269</v>
      </c>
    </row>
    <row r="3" spans="1:15" x14ac:dyDescent="0.7">
      <c r="A3" s="82">
        <f>A2+1</f>
        <v>2</v>
      </c>
      <c r="B3" s="84" t="s">
        <v>136</v>
      </c>
      <c r="C3" s="84" t="s">
        <v>138</v>
      </c>
      <c r="D3" s="84" t="s">
        <v>199</v>
      </c>
      <c r="E3" s="84">
        <v>1</v>
      </c>
      <c r="F3" s="84" t="s">
        <v>202</v>
      </c>
      <c r="G3" s="84">
        <v>0</v>
      </c>
      <c r="H3" s="84"/>
      <c r="I3" s="84"/>
      <c r="J3" s="86">
        <f t="shared" ref="J3:J55" si="0">IF(AND(H3&lt;&gt;"",I3&lt;&gt;""),NETWORKDAYS(H3,I3),0)</f>
        <v>0</v>
      </c>
      <c r="K3" s="83">
        <f t="shared" ref="K3:K55" si="1">IFERROR(E3*G3,0)</f>
        <v>0</v>
      </c>
      <c r="L3" s="84" t="s">
        <v>216</v>
      </c>
      <c r="M3" s="84" t="s">
        <v>264</v>
      </c>
      <c r="N3" s="84" t="s">
        <v>215</v>
      </c>
      <c r="O3" s="84" t="s">
        <v>270</v>
      </c>
    </row>
    <row r="4" spans="1:15" x14ac:dyDescent="0.7">
      <c r="A4" s="82">
        <f>A3+1</f>
        <v>3</v>
      </c>
      <c r="B4" s="84" t="s">
        <v>136</v>
      </c>
      <c r="C4" s="84" t="s">
        <v>139</v>
      </c>
      <c r="D4" s="84" t="s">
        <v>199</v>
      </c>
      <c r="E4" s="84">
        <v>3</v>
      </c>
      <c r="F4" s="84" t="s">
        <v>34</v>
      </c>
      <c r="G4" s="84">
        <v>0</v>
      </c>
      <c r="H4" s="84"/>
      <c r="I4" s="84"/>
      <c r="J4" s="86">
        <f t="shared" si="0"/>
        <v>0</v>
      </c>
      <c r="K4" s="83">
        <f t="shared" si="1"/>
        <v>0</v>
      </c>
      <c r="L4" s="84" t="s">
        <v>217</v>
      </c>
      <c r="M4" s="84" t="s">
        <v>214</v>
      </c>
      <c r="N4" s="84" t="s">
        <v>215</v>
      </c>
      <c r="O4" s="84" t="s">
        <v>271</v>
      </c>
    </row>
    <row r="5" spans="1:15" x14ac:dyDescent="0.7">
      <c r="A5" s="82">
        <f t="shared" ref="A5:A55" si="2">A4+1</f>
        <v>4</v>
      </c>
      <c r="B5" s="84" t="s">
        <v>136</v>
      </c>
      <c r="C5" s="84" t="s">
        <v>140</v>
      </c>
      <c r="D5" s="84" t="s">
        <v>199</v>
      </c>
      <c r="E5" s="84">
        <v>2</v>
      </c>
      <c r="F5" s="84" t="s">
        <v>51</v>
      </c>
      <c r="G5" s="84">
        <v>0</v>
      </c>
      <c r="H5" s="84"/>
      <c r="I5" s="84"/>
      <c r="J5" s="86">
        <f t="shared" si="0"/>
        <v>0</v>
      </c>
      <c r="K5" s="83">
        <f t="shared" si="1"/>
        <v>0</v>
      </c>
      <c r="L5" s="84" t="s">
        <v>218</v>
      </c>
      <c r="M5" s="84" t="s">
        <v>214</v>
      </c>
      <c r="N5" s="84" t="s">
        <v>216</v>
      </c>
      <c r="O5" s="84" t="s">
        <v>272</v>
      </c>
    </row>
    <row r="6" spans="1:15" x14ac:dyDescent="0.7">
      <c r="A6" s="82">
        <f t="shared" si="2"/>
        <v>5</v>
      </c>
      <c r="B6" s="84" t="s">
        <v>141</v>
      </c>
      <c r="C6" s="84" t="s">
        <v>142</v>
      </c>
      <c r="D6" s="84" t="s">
        <v>199</v>
      </c>
      <c r="E6" s="84">
        <v>5</v>
      </c>
      <c r="F6" s="84" t="s">
        <v>203</v>
      </c>
      <c r="G6" s="84">
        <v>0</v>
      </c>
      <c r="H6" s="84"/>
      <c r="I6" s="84"/>
      <c r="J6" s="86">
        <f t="shared" si="0"/>
        <v>0</v>
      </c>
      <c r="K6" s="83">
        <f t="shared" si="1"/>
        <v>0</v>
      </c>
      <c r="L6" s="84" t="s">
        <v>219</v>
      </c>
      <c r="M6" s="84" t="s">
        <v>264</v>
      </c>
      <c r="N6" s="84" t="s">
        <v>217</v>
      </c>
      <c r="O6" s="84" t="s">
        <v>273</v>
      </c>
    </row>
    <row r="7" spans="1:15" x14ac:dyDescent="0.7">
      <c r="A7" s="82">
        <f t="shared" si="2"/>
        <v>6</v>
      </c>
      <c r="B7" s="84" t="s">
        <v>141</v>
      </c>
      <c r="C7" s="84" t="s">
        <v>143</v>
      </c>
      <c r="D7" s="84" t="s">
        <v>199</v>
      </c>
      <c r="E7" s="84">
        <v>5</v>
      </c>
      <c r="F7" s="84" t="s">
        <v>34</v>
      </c>
      <c r="G7" s="84">
        <v>0</v>
      </c>
      <c r="H7" s="84"/>
      <c r="I7" s="84"/>
      <c r="J7" s="86">
        <f t="shared" si="0"/>
        <v>0</v>
      </c>
      <c r="K7" s="83">
        <f t="shared" si="1"/>
        <v>0</v>
      </c>
      <c r="L7" s="84" t="s">
        <v>220</v>
      </c>
      <c r="M7" s="84" t="s">
        <v>214</v>
      </c>
      <c r="N7" s="84" t="s">
        <v>219</v>
      </c>
      <c r="O7" s="84" t="s">
        <v>274</v>
      </c>
    </row>
    <row r="8" spans="1:15" x14ac:dyDescent="0.7">
      <c r="A8" s="82">
        <f t="shared" si="2"/>
        <v>7</v>
      </c>
      <c r="B8" s="84" t="s">
        <v>141</v>
      </c>
      <c r="C8" s="84" t="s">
        <v>144</v>
      </c>
      <c r="D8" s="84" t="s">
        <v>199</v>
      </c>
      <c r="E8" s="84">
        <v>3</v>
      </c>
      <c r="F8" s="84" t="s">
        <v>204</v>
      </c>
      <c r="G8" s="84">
        <v>0</v>
      </c>
      <c r="H8" s="84"/>
      <c r="I8" s="84"/>
      <c r="J8" s="86">
        <f t="shared" si="0"/>
        <v>0</v>
      </c>
      <c r="K8" s="83">
        <f t="shared" si="1"/>
        <v>0</v>
      </c>
      <c r="L8" s="84" t="s">
        <v>221</v>
      </c>
      <c r="M8" s="84" t="s">
        <v>214</v>
      </c>
      <c r="N8" s="84" t="s">
        <v>219</v>
      </c>
      <c r="O8" s="84" t="s">
        <v>275</v>
      </c>
    </row>
    <row r="9" spans="1:15" x14ac:dyDescent="0.7">
      <c r="A9" s="82">
        <f t="shared" si="2"/>
        <v>8</v>
      </c>
      <c r="B9" s="84" t="s">
        <v>141</v>
      </c>
      <c r="C9" s="84" t="s">
        <v>145</v>
      </c>
      <c r="D9" s="84" t="s">
        <v>199</v>
      </c>
      <c r="E9" s="84">
        <v>1</v>
      </c>
      <c r="F9" s="84" t="s">
        <v>205</v>
      </c>
      <c r="G9" s="84">
        <v>0</v>
      </c>
      <c r="H9" s="84"/>
      <c r="I9" s="84"/>
      <c r="J9" s="86">
        <f t="shared" si="0"/>
        <v>0</v>
      </c>
      <c r="K9" s="83">
        <f t="shared" si="1"/>
        <v>0</v>
      </c>
      <c r="L9" s="84" t="s">
        <v>222</v>
      </c>
      <c r="M9" s="84" t="s">
        <v>214</v>
      </c>
      <c r="N9" s="84" t="s">
        <v>220</v>
      </c>
      <c r="O9" s="84" t="s">
        <v>276</v>
      </c>
    </row>
    <row r="10" spans="1:15" x14ac:dyDescent="0.7">
      <c r="A10" s="82">
        <f t="shared" si="2"/>
        <v>9</v>
      </c>
      <c r="B10" s="84" t="s">
        <v>141</v>
      </c>
      <c r="C10" s="84" t="s">
        <v>146</v>
      </c>
      <c r="D10" s="84" t="s">
        <v>199</v>
      </c>
      <c r="E10" s="84">
        <v>1</v>
      </c>
      <c r="F10" s="84" t="s">
        <v>206</v>
      </c>
      <c r="G10" s="84">
        <v>0</v>
      </c>
      <c r="H10" s="84"/>
      <c r="I10" s="84"/>
      <c r="J10" s="86">
        <f t="shared" si="0"/>
        <v>0</v>
      </c>
      <c r="K10" s="83">
        <f t="shared" si="1"/>
        <v>0</v>
      </c>
      <c r="L10" s="84" t="s">
        <v>223</v>
      </c>
      <c r="M10" s="84" t="s">
        <v>265</v>
      </c>
      <c r="N10" s="84" t="s">
        <v>277</v>
      </c>
      <c r="O10" s="84" t="s">
        <v>278</v>
      </c>
    </row>
    <row r="11" spans="1:15" x14ac:dyDescent="0.7">
      <c r="A11" s="82">
        <f t="shared" si="2"/>
        <v>10</v>
      </c>
      <c r="B11" s="84" t="s">
        <v>147</v>
      </c>
      <c r="C11" s="84" t="s">
        <v>148</v>
      </c>
      <c r="D11" s="84" t="s">
        <v>200</v>
      </c>
      <c r="E11" s="84">
        <v>3</v>
      </c>
      <c r="F11" s="84" t="s">
        <v>207</v>
      </c>
      <c r="G11" s="84">
        <v>0</v>
      </c>
      <c r="H11" s="84"/>
      <c r="I11" s="84"/>
      <c r="J11" s="86">
        <f t="shared" si="0"/>
        <v>0</v>
      </c>
      <c r="K11" s="83">
        <f t="shared" si="1"/>
        <v>0</v>
      </c>
      <c r="L11" s="84" t="s">
        <v>224</v>
      </c>
      <c r="M11" s="84" t="s">
        <v>264</v>
      </c>
      <c r="N11" s="84" t="s">
        <v>223</v>
      </c>
      <c r="O11" s="84" t="s">
        <v>279</v>
      </c>
    </row>
    <row r="12" spans="1:15" x14ac:dyDescent="0.7">
      <c r="A12" s="82">
        <f t="shared" si="2"/>
        <v>11</v>
      </c>
      <c r="B12" s="84" t="s">
        <v>147</v>
      </c>
      <c r="C12" s="84" t="s">
        <v>149</v>
      </c>
      <c r="D12" s="84" t="s">
        <v>200</v>
      </c>
      <c r="E12" s="84">
        <v>3</v>
      </c>
      <c r="F12" s="84" t="s">
        <v>203</v>
      </c>
      <c r="G12" s="84">
        <v>0</v>
      </c>
      <c r="H12" s="84"/>
      <c r="I12" s="84"/>
      <c r="J12" s="86">
        <f t="shared" si="0"/>
        <v>0</v>
      </c>
      <c r="K12" s="83">
        <f t="shared" si="1"/>
        <v>0</v>
      </c>
      <c r="L12" s="84" t="s">
        <v>225</v>
      </c>
      <c r="M12" s="84" t="s">
        <v>264</v>
      </c>
      <c r="N12" s="84" t="s">
        <v>224</v>
      </c>
      <c r="O12" s="84" t="s">
        <v>280</v>
      </c>
    </row>
    <row r="13" spans="1:15" x14ac:dyDescent="0.7">
      <c r="A13" s="82">
        <f t="shared" si="2"/>
        <v>12</v>
      </c>
      <c r="B13" s="84" t="s">
        <v>147</v>
      </c>
      <c r="C13" s="84" t="s">
        <v>150</v>
      </c>
      <c r="D13" s="84" t="s">
        <v>200</v>
      </c>
      <c r="E13" s="84">
        <v>5</v>
      </c>
      <c r="F13" s="84" t="s">
        <v>208</v>
      </c>
      <c r="G13" s="84">
        <v>0</v>
      </c>
      <c r="H13" s="84"/>
      <c r="I13" s="84"/>
      <c r="J13" s="86">
        <f t="shared" si="0"/>
        <v>0</v>
      </c>
      <c r="K13" s="83">
        <f t="shared" si="1"/>
        <v>0</v>
      </c>
      <c r="L13" s="84" t="s">
        <v>226</v>
      </c>
      <c r="M13" s="84" t="s">
        <v>264</v>
      </c>
      <c r="N13" s="84" t="s">
        <v>224</v>
      </c>
      <c r="O13" s="84" t="s">
        <v>281</v>
      </c>
    </row>
    <row r="14" spans="1:15" x14ac:dyDescent="0.7">
      <c r="A14" s="82">
        <f t="shared" si="2"/>
        <v>13</v>
      </c>
      <c r="B14" s="84" t="s">
        <v>147</v>
      </c>
      <c r="C14" s="84" t="s">
        <v>151</v>
      </c>
      <c r="D14" s="84" t="s">
        <v>200</v>
      </c>
      <c r="E14" s="84">
        <v>3</v>
      </c>
      <c r="F14" s="84" t="s">
        <v>203</v>
      </c>
      <c r="G14" s="84">
        <v>0</v>
      </c>
      <c r="H14" s="84"/>
      <c r="I14" s="84"/>
      <c r="J14" s="86">
        <f t="shared" si="0"/>
        <v>0</v>
      </c>
      <c r="K14" s="83">
        <f t="shared" si="1"/>
        <v>0</v>
      </c>
      <c r="L14" s="84" t="s">
        <v>227</v>
      </c>
      <c r="M14" s="84" t="s">
        <v>214</v>
      </c>
      <c r="N14" s="84" t="s">
        <v>225</v>
      </c>
      <c r="O14" s="84" t="s">
        <v>282</v>
      </c>
    </row>
    <row r="15" spans="1:15" x14ac:dyDescent="0.7">
      <c r="A15" s="82">
        <f t="shared" si="2"/>
        <v>14</v>
      </c>
      <c r="B15" s="84" t="s">
        <v>147</v>
      </c>
      <c r="C15" s="84" t="s">
        <v>152</v>
      </c>
      <c r="D15" s="84" t="s">
        <v>200</v>
      </c>
      <c r="E15" s="84">
        <v>3</v>
      </c>
      <c r="F15" s="84" t="s">
        <v>203</v>
      </c>
      <c r="G15" s="84">
        <v>0</v>
      </c>
      <c r="H15" s="84"/>
      <c r="I15" s="84"/>
      <c r="J15" s="86">
        <f t="shared" si="0"/>
        <v>0</v>
      </c>
      <c r="K15" s="83">
        <f t="shared" si="1"/>
        <v>0</v>
      </c>
      <c r="L15" s="84" t="s">
        <v>228</v>
      </c>
      <c r="M15" s="84" t="s">
        <v>214</v>
      </c>
      <c r="N15" s="84" t="s">
        <v>226</v>
      </c>
      <c r="O15" s="84" t="s">
        <v>283</v>
      </c>
    </row>
    <row r="16" spans="1:15" x14ac:dyDescent="0.7">
      <c r="A16" s="82">
        <f t="shared" si="2"/>
        <v>15</v>
      </c>
      <c r="B16" s="84" t="s">
        <v>147</v>
      </c>
      <c r="C16" s="84" t="s">
        <v>153</v>
      </c>
      <c r="D16" s="84" t="s">
        <v>200</v>
      </c>
      <c r="E16" s="84">
        <v>1</v>
      </c>
      <c r="F16" s="84" t="s">
        <v>209</v>
      </c>
      <c r="G16" s="84">
        <v>0</v>
      </c>
      <c r="H16" s="84"/>
      <c r="I16" s="84"/>
      <c r="J16" s="86">
        <f t="shared" si="0"/>
        <v>0</v>
      </c>
      <c r="K16" s="83">
        <f t="shared" si="1"/>
        <v>0</v>
      </c>
      <c r="L16" s="84" t="s">
        <v>229</v>
      </c>
      <c r="M16" s="84" t="s">
        <v>214</v>
      </c>
      <c r="N16" s="84" t="s">
        <v>223</v>
      </c>
      <c r="O16" s="84" t="s">
        <v>284</v>
      </c>
    </row>
    <row r="17" spans="1:15" x14ac:dyDescent="0.7">
      <c r="A17" s="82">
        <f t="shared" si="2"/>
        <v>16</v>
      </c>
      <c r="B17" s="84" t="s">
        <v>147</v>
      </c>
      <c r="C17" s="84" t="s">
        <v>154</v>
      </c>
      <c r="D17" s="84" t="s">
        <v>200</v>
      </c>
      <c r="E17" s="84">
        <v>1</v>
      </c>
      <c r="F17" s="84" t="s">
        <v>206</v>
      </c>
      <c r="G17" s="84">
        <v>0</v>
      </c>
      <c r="H17" s="84"/>
      <c r="I17" s="84"/>
      <c r="J17" s="86">
        <f t="shared" si="0"/>
        <v>0</v>
      </c>
      <c r="K17" s="83">
        <f t="shared" si="1"/>
        <v>0</v>
      </c>
      <c r="L17" s="84" t="s">
        <v>230</v>
      </c>
      <c r="M17" s="88" t="s">
        <v>265</v>
      </c>
      <c r="N17" s="84" t="s">
        <v>285</v>
      </c>
      <c r="O17" s="84" t="s">
        <v>286</v>
      </c>
    </row>
    <row r="18" spans="1:15" x14ac:dyDescent="0.7">
      <c r="A18" s="82">
        <f t="shared" si="2"/>
        <v>17</v>
      </c>
      <c r="B18" s="84" t="s">
        <v>155</v>
      </c>
      <c r="C18" s="84" t="s">
        <v>156</v>
      </c>
      <c r="D18" s="84" t="s">
        <v>200</v>
      </c>
      <c r="E18" s="84">
        <v>3</v>
      </c>
      <c r="F18" s="84" t="s">
        <v>210</v>
      </c>
      <c r="G18" s="84">
        <v>0</v>
      </c>
      <c r="H18" s="84"/>
      <c r="I18" s="84"/>
      <c r="J18" s="86">
        <f t="shared" si="0"/>
        <v>0</v>
      </c>
      <c r="K18" s="83">
        <f t="shared" si="1"/>
        <v>0</v>
      </c>
      <c r="L18" s="84" t="s">
        <v>231</v>
      </c>
      <c r="M18" s="84" t="s">
        <v>214</v>
      </c>
      <c r="N18" s="84" t="s">
        <v>230</v>
      </c>
      <c r="O18" s="84" t="s">
        <v>287</v>
      </c>
    </row>
    <row r="19" spans="1:15" x14ac:dyDescent="0.7">
      <c r="A19" s="82">
        <f t="shared" si="2"/>
        <v>18</v>
      </c>
      <c r="B19" s="84" t="s">
        <v>155</v>
      </c>
      <c r="C19" s="84" t="s">
        <v>157</v>
      </c>
      <c r="D19" s="84" t="s">
        <v>200</v>
      </c>
      <c r="E19" s="84">
        <v>3</v>
      </c>
      <c r="F19" s="84" t="s">
        <v>35</v>
      </c>
      <c r="G19" s="84">
        <v>0</v>
      </c>
      <c r="H19" s="84"/>
      <c r="I19" s="84"/>
      <c r="J19" s="86">
        <f t="shared" si="0"/>
        <v>0</v>
      </c>
      <c r="K19" s="83">
        <f t="shared" si="1"/>
        <v>0</v>
      </c>
      <c r="L19" s="84" t="s">
        <v>232</v>
      </c>
      <c r="M19" s="84" t="s">
        <v>264</v>
      </c>
      <c r="N19" s="84" t="s">
        <v>231</v>
      </c>
      <c r="O19" s="84" t="s">
        <v>288</v>
      </c>
    </row>
    <row r="20" spans="1:15" x14ac:dyDescent="0.7">
      <c r="A20" s="82">
        <f t="shared" si="2"/>
        <v>19</v>
      </c>
      <c r="B20" s="84" t="s">
        <v>155</v>
      </c>
      <c r="C20" s="84" t="s">
        <v>158</v>
      </c>
      <c r="D20" s="84" t="s">
        <v>200</v>
      </c>
      <c r="E20" s="84">
        <v>3</v>
      </c>
      <c r="F20" s="84" t="s">
        <v>35</v>
      </c>
      <c r="G20" s="84">
        <v>0</v>
      </c>
      <c r="H20" s="84"/>
      <c r="I20" s="84"/>
      <c r="J20" s="86">
        <f t="shared" si="0"/>
        <v>0</v>
      </c>
      <c r="K20" s="83">
        <f t="shared" si="1"/>
        <v>0</v>
      </c>
      <c r="L20" s="84" t="s">
        <v>233</v>
      </c>
      <c r="M20" s="84" t="s">
        <v>214</v>
      </c>
      <c r="N20" s="84" t="s">
        <v>232</v>
      </c>
      <c r="O20" s="84" t="s">
        <v>289</v>
      </c>
    </row>
    <row r="21" spans="1:15" x14ac:dyDescent="0.7">
      <c r="A21" s="82">
        <f t="shared" si="2"/>
        <v>20</v>
      </c>
      <c r="B21" s="84" t="s">
        <v>155</v>
      </c>
      <c r="C21" s="84" t="s">
        <v>159</v>
      </c>
      <c r="D21" s="84" t="s">
        <v>200</v>
      </c>
      <c r="E21" s="84">
        <v>3</v>
      </c>
      <c r="F21" s="84" t="s">
        <v>210</v>
      </c>
      <c r="G21" s="84">
        <v>0</v>
      </c>
      <c r="H21" s="84"/>
      <c r="I21" s="84"/>
      <c r="J21" s="86">
        <f t="shared" si="0"/>
        <v>0</v>
      </c>
      <c r="K21" s="83">
        <f t="shared" si="1"/>
        <v>0</v>
      </c>
      <c r="L21" s="84" t="s">
        <v>234</v>
      </c>
      <c r="M21" s="84" t="s">
        <v>214</v>
      </c>
      <c r="N21" s="84" t="s">
        <v>232</v>
      </c>
      <c r="O21" s="84" t="s">
        <v>290</v>
      </c>
    </row>
    <row r="22" spans="1:15" x14ac:dyDescent="0.7">
      <c r="A22" s="82">
        <f t="shared" si="2"/>
        <v>21</v>
      </c>
      <c r="B22" s="84" t="s">
        <v>155</v>
      </c>
      <c r="C22" s="84" t="s">
        <v>160</v>
      </c>
      <c r="D22" s="84" t="s">
        <v>200</v>
      </c>
      <c r="E22" s="84">
        <v>1</v>
      </c>
      <c r="F22" s="84" t="s">
        <v>209</v>
      </c>
      <c r="G22" s="84">
        <v>0</v>
      </c>
      <c r="H22" s="84"/>
      <c r="I22" s="84"/>
      <c r="J22" s="86">
        <f t="shared" si="0"/>
        <v>0</v>
      </c>
      <c r="K22" s="83">
        <f t="shared" si="1"/>
        <v>0</v>
      </c>
      <c r="L22" s="84" t="s">
        <v>235</v>
      </c>
      <c r="M22" s="84" t="s">
        <v>214</v>
      </c>
      <c r="N22" s="84" t="s">
        <v>291</v>
      </c>
      <c r="O22" s="84" t="s">
        <v>292</v>
      </c>
    </row>
    <row r="23" spans="1:15" x14ac:dyDescent="0.7">
      <c r="A23" s="82">
        <f t="shared" si="2"/>
        <v>22</v>
      </c>
      <c r="B23" s="84" t="s">
        <v>161</v>
      </c>
      <c r="C23" s="84" t="s">
        <v>162</v>
      </c>
      <c r="D23" s="84" t="s">
        <v>200</v>
      </c>
      <c r="E23" s="84">
        <v>5</v>
      </c>
      <c r="F23" s="84" t="s">
        <v>35</v>
      </c>
      <c r="G23" s="84">
        <v>0</v>
      </c>
      <c r="H23" s="84"/>
      <c r="I23" s="84"/>
      <c r="J23" s="86">
        <f t="shared" si="0"/>
        <v>0</v>
      </c>
      <c r="K23" s="83">
        <f t="shared" si="1"/>
        <v>0</v>
      </c>
      <c r="L23" s="84" t="s">
        <v>116</v>
      </c>
      <c r="M23" s="84" t="s">
        <v>264</v>
      </c>
      <c r="N23" s="84" t="s">
        <v>232</v>
      </c>
      <c r="O23" s="84" t="s">
        <v>293</v>
      </c>
    </row>
    <row r="24" spans="1:15" x14ac:dyDescent="0.7">
      <c r="A24" s="82">
        <f t="shared" si="2"/>
        <v>23</v>
      </c>
      <c r="B24" s="84" t="s">
        <v>161</v>
      </c>
      <c r="C24" s="84" t="s">
        <v>163</v>
      </c>
      <c r="D24" s="84" t="s">
        <v>200</v>
      </c>
      <c r="E24" s="84">
        <v>4</v>
      </c>
      <c r="F24" s="84" t="s">
        <v>35</v>
      </c>
      <c r="G24" s="84">
        <v>0</v>
      </c>
      <c r="H24" s="84"/>
      <c r="I24" s="84"/>
      <c r="J24" s="86">
        <f t="shared" si="0"/>
        <v>0</v>
      </c>
      <c r="K24" s="83">
        <f t="shared" si="1"/>
        <v>0</v>
      </c>
      <c r="L24" s="84" t="s">
        <v>118</v>
      </c>
      <c r="M24" s="84" t="s">
        <v>264</v>
      </c>
      <c r="N24" s="84" t="s">
        <v>232</v>
      </c>
      <c r="O24" s="84" t="s">
        <v>294</v>
      </c>
    </row>
    <row r="25" spans="1:15" x14ac:dyDescent="0.7">
      <c r="A25" s="82">
        <f t="shared" si="2"/>
        <v>24</v>
      </c>
      <c r="B25" s="84" t="s">
        <v>161</v>
      </c>
      <c r="C25" s="84" t="s">
        <v>164</v>
      </c>
      <c r="D25" s="84" t="s">
        <v>200</v>
      </c>
      <c r="E25" s="84">
        <v>4</v>
      </c>
      <c r="F25" s="84" t="s">
        <v>35</v>
      </c>
      <c r="G25" s="84">
        <v>0</v>
      </c>
      <c r="H25" s="84"/>
      <c r="I25" s="84"/>
      <c r="J25" s="86">
        <f t="shared" si="0"/>
        <v>0</v>
      </c>
      <c r="K25" s="83">
        <f t="shared" si="1"/>
        <v>0</v>
      </c>
      <c r="L25" s="84" t="s">
        <v>120</v>
      </c>
      <c r="M25" s="84" t="s">
        <v>264</v>
      </c>
      <c r="N25" s="84" t="s">
        <v>232</v>
      </c>
      <c r="O25" s="84" t="s">
        <v>295</v>
      </c>
    </row>
    <row r="26" spans="1:15" x14ac:dyDescent="0.7">
      <c r="A26" s="82">
        <f t="shared" si="2"/>
        <v>25</v>
      </c>
      <c r="B26" s="84" t="s">
        <v>161</v>
      </c>
      <c r="C26" s="84" t="s">
        <v>165</v>
      </c>
      <c r="D26" s="84" t="s">
        <v>200</v>
      </c>
      <c r="E26" s="84">
        <v>5</v>
      </c>
      <c r="F26" s="84" t="s">
        <v>211</v>
      </c>
      <c r="G26" s="84">
        <v>0</v>
      </c>
      <c r="H26" s="84"/>
      <c r="I26" s="84"/>
      <c r="J26" s="86">
        <f t="shared" si="0"/>
        <v>0</v>
      </c>
      <c r="K26" s="83">
        <f t="shared" si="1"/>
        <v>0</v>
      </c>
      <c r="L26" s="84" t="s">
        <v>123</v>
      </c>
      <c r="M26" s="84" t="s">
        <v>264</v>
      </c>
      <c r="N26" s="84" t="s">
        <v>296</v>
      </c>
      <c r="O26" s="84" t="s">
        <v>297</v>
      </c>
    </row>
    <row r="27" spans="1:15" x14ac:dyDescent="0.7">
      <c r="A27" s="82">
        <f t="shared" si="2"/>
        <v>26</v>
      </c>
      <c r="B27" s="84" t="s">
        <v>161</v>
      </c>
      <c r="C27" s="84" t="s">
        <v>166</v>
      </c>
      <c r="D27" s="84" t="s">
        <v>200</v>
      </c>
      <c r="E27" s="84">
        <v>3</v>
      </c>
      <c r="F27" s="84" t="s">
        <v>211</v>
      </c>
      <c r="G27" s="84">
        <v>0</v>
      </c>
      <c r="H27" s="84"/>
      <c r="I27" s="84"/>
      <c r="J27" s="86">
        <f t="shared" si="0"/>
        <v>0</v>
      </c>
      <c r="K27" s="83">
        <f t="shared" si="1"/>
        <v>0</v>
      </c>
      <c r="L27" s="84" t="s">
        <v>236</v>
      </c>
      <c r="M27" s="84" t="s">
        <v>214</v>
      </c>
      <c r="N27" s="84" t="s">
        <v>123</v>
      </c>
      <c r="O27" s="84" t="s">
        <v>298</v>
      </c>
    </row>
    <row r="28" spans="1:15" x14ac:dyDescent="0.7">
      <c r="A28" s="82">
        <f t="shared" si="2"/>
        <v>27</v>
      </c>
      <c r="B28" s="84" t="s">
        <v>161</v>
      </c>
      <c r="C28" s="84" t="s">
        <v>167</v>
      </c>
      <c r="D28" s="84" t="s">
        <v>200</v>
      </c>
      <c r="E28" s="84">
        <v>3</v>
      </c>
      <c r="F28" s="84" t="s">
        <v>35</v>
      </c>
      <c r="G28" s="84">
        <v>0</v>
      </c>
      <c r="H28" s="84"/>
      <c r="I28" s="84"/>
      <c r="J28" s="86">
        <f t="shared" si="0"/>
        <v>0</v>
      </c>
      <c r="K28" s="83">
        <f t="shared" si="1"/>
        <v>0</v>
      </c>
      <c r="L28" s="84" t="s">
        <v>237</v>
      </c>
      <c r="M28" s="84" t="s">
        <v>214</v>
      </c>
      <c r="N28" s="84" t="s">
        <v>123</v>
      </c>
      <c r="O28" s="84" t="s">
        <v>299</v>
      </c>
    </row>
    <row r="29" spans="1:15" x14ac:dyDescent="0.7">
      <c r="A29" s="82">
        <f t="shared" si="2"/>
        <v>28</v>
      </c>
      <c r="B29" s="84" t="s">
        <v>161</v>
      </c>
      <c r="C29" s="84" t="s">
        <v>168</v>
      </c>
      <c r="D29" s="84" t="s">
        <v>200</v>
      </c>
      <c r="E29" s="84">
        <v>3</v>
      </c>
      <c r="F29" s="84" t="s">
        <v>208</v>
      </c>
      <c r="G29" s="84">
        <v>0</v>
      </c>
      <c r="H29" s="84"/>
      <c r="I29" s="84"/>
      <c r="J29" s="86">
        <f t="shared" si="0"/>
        <v>0</v>
      </c>
      <c r="K29" s="83">
        <f t="shared" si="1"/>
        <v>0</v>
      </c>
      <c r="L29" s="84" t="s">
        <v>238</v>
      </c>
      <c r="M29" s="84" t="s">
        <v>265</v>
      </c>
      <c r="N29" s="84" t="s">
        <v>300</v>
      </c>
      <c r="O29" s="84" t="s">
        <v>301</v>
      </c>
    </row>
    <row r="30" spans="1:15" x14ac:dyDescent="0.7">
      <c r="A30" s="82">
        <f t="shared" si="2"/>
        <v>29</v>
      </c>
      <c r="B30" s="84" t="s">
        <v>169</v>
      </c>
      <c r="C30" s="84" t="s">
        <v>170</v>
      </c>
      <c r="D30" s="84" t="s">
        <v>200</v>
      </c>
      <c r="E30" s="84">
        <v>5</v>
      </c>
      <c r="F30" s="84" t="s">
        <v>211</v>
      </c>
      <c r="G30" s="84">
        <v>0</v>
      </c>
      <c r="H30" s="84"/>
      <c r="I30" s="84"/>
      <c r="J30" s="86">
        <f t="shared" si="0"/>
        <v>0</v>
      </c>
      <c r="K30" s="83">
        <f t="shared" si="1"/>
        <v>0</v>
      </c>
      <c r="L30" s="84" t="s">
        <v>239</v>
      </c>
      <c r="M30" s="84" t="s">
        <v>264</v>
      </c>
      <c r="N30" s="84" t="s">
        <v>302</v>
      </c>
      <c r="O30" s="84" t="s">
        <v>303</v>
      </c>
    </row>
    <row r="31" spans="1:15" x14ac:dyDescent="0.7">
      <c r="A31" s="82">
        <f t="shared" si="2"/>
        <v>30</v>
      </c>
      <c r="B31" s="84" t="s">
        <v>169</v>
      </c>
      <c r="C31" s="84" t="s">
        <v>171</v>
      </c>
      <c r="D31" s="84" t="s">
        <v>200</v>
      </c>
      <c r="E31" s="84">
        <v>5</v>
      </c>
      <c r="F31" s="84" t="s">
        <v>211</v>
      </c>
      <c r="G31" s="84">
        <v>0</v>
      </c>
      <c r="H31" s="84"/>
      <c r="I31" s="84"/>
      <c r="J31" s="86">
        <f t="shared" si="0"/>
        <v>0</v>
      </c>
      <c r="K31" s="83">
        <f t="shared" si="1"/>
        <v>0</v>
      </c>
      <c r="L31" s="84" t="s">
        <v>240</v>
      </c>
      <c r="M31" s="84" t="s">
        <v>264</v>
      </c>
      <c r="N31" s="84" t="s">
        <v>239</v>
      </c>
      <c r="O31" s="84" t="s">
        <v>304</v>
      </c>
    </row>
    <row r="32" spans="1:15" x14ac:dyDescent="0.7">
      <c r="A32" s="82">
        <f t="shared" si="2"/>
        <v>31</v>
      </c>
      <c r="B32" s="84" t="s">
        <v>169</v>
      </c>
      <c r="C32" s="84" t="s">
        <v>172</v>
      </c>
      <c r="D32" s="84" t="s">
        <v>200</v>
      </c>
      <c r="E32" s="84">
        <v>3</v>
      </c>
      <c r="F32" s="84" t="s">
        <v>210</v>
      </c>
      <c r="G32" s="84">
        <v>0</v>
      </c>
      <c r="H32" s="84"/>
      <c r="I32" s="84"/>
      <c r="J32" s="86">
        <f t="shared" si="0"/>
        <v>0</v>
      </c>
      <c r="K32" s="83">
        <f t="shared" si="1"/>
        <v>0</v>
      </c>
      <c r="L32" s="84" t="s">
        <v>241</v>
      </c>
      <c r="M32" s="84" t="s">
        <v>214</v>
      </c>
      <c r="N32" s="84" t="s">
        <v>305</v>
      </c>
      <c r="O32" s="84" t="s">
        <v>306</v>
      </c>
    </row>
    <row r="33" spans="1:15" x14ac:dyDescent="0.7">
      <c r="A33" s="82">
        <f t="shared" si="2"/>
        <v>32</v>
      </c>
      <c r="B33" s="84" t="s">
        <v>169</v>
      </c>
      <c r="C33" s="84" t="s">
        <v>173</v>
      </c>
      <c r="D33" s="84" t="s">
        <v>200</v>
      </c>
      <c r="E33" s="84">
        <v>3</v>
      </c>
      <c r="F33" s="84" t="s">
        <v>211</v>
      </c>
      <c r="G33" s="84">
        <v>0</v>
      </c>
      <c r="H33" s="84"/>
      <c r="I33" s="84"/>
      <c r="J33" s="86">
        <f t="shared" si="0"/>
        <v>0</v>
      </c>
      <c r="K33" s="83">
        <f t="shared" si="1"/>
        <v>0</v>
      </c>
      <c r="L33" s="84" t="s">
        <v>242</v>
      </c>
      <c r="M33" s="84" t="s">
        <v>214</v>
      </c>
      <c r="N33" s="84" t="s">
        <v>307</v>
      </c>
      <c r="O33" s="84" t="s">
        <v>308</v>
      </c>
    </row>
    <row r="34" spans="1:15" x14ac:dyDescent="0.7">
      <c r="A34" s="82">
        <f t="shared" si="2"/>
        <v>33</v>
      </c>
      <c r="B34" s="84" t="s">
        <v>169</v>
      </c>
      <c r="C34" s="84" t="s">
        <v>174</v>
      </c>
      <c r="D34" s="84" t="s">
        <v>200</v>
      </c>
      <c r="E34" s="84">
        <v>3</v>
      </c>
      <c r="F34" s="84" t="s">
        <v>210</v>
      </c>
      <c r="G34" s="84">
        <v>0</v>
      </c>
      <c r="H34" s="84"/>
      <c r="I34" s="84"/>
      <c r="J34" s="86">
        <f t="shared" si="0"/>
        <v>0</v>
      </c>
      <c r="K34" s="83">
        <f t="shared" si="1"/>
        <v>0</v>
      </c>
      <c r="L34" s="84" t="s">
        <v>243</v>
      </c>
      <c r="M34" s="84" t="s">
        <v>214</v>
      </c>
      <c r="N34" s="84" t="s">
        <v>309</v>
      </c>
      <c r="O34" s="84" t="s">
        <v>310</v>
      </c>
    </row>
    <row r="35" spans="1:15" x14ac:dyDescent="0.7">
      <c r="A35" s="82">
        <f t="shared" si="2"/>
        <v>34</v>
      </c>
      <c r="B35" s="84" t="s">
        <v>169</v>
      </c>
      <c r="C35" s="84" t="s">
        <v>175</v>
      </c>
      <c r="D35" s="84" t="s">
        <v>200</v>
      </c>
      <c r="E35" s="84">
        <v>3</v>
      </c>
      <c r="F35" s="84" t="s">
        <v>208</v>
      </c>
      <c r="G35" s="84">
        <v>0</v>
      </c>
      <c r="H35" s="84"/>
      <c r="I35" s="84"/>
      <c r="J35" s="86">
        <f t="shared" si="0"/>
        <v>0</v>
      </c>
      <c r="K35" s="83">
        <f t="shared" si="1"/>
        <v>0</v>
      </c>
      <c r="L35" s="84" t="s">
        <v>244</v>
      </c>
      <c r="M35" s="84" t="s">
        <v>265</v>
      </c>
      <c r="N35" s="84" t="s">
        <v>311</v>
      </c>
      <c r="O35" s="84" t="s">
        <v>312</v>
      </c>
    </row>
    <row r="36" spans="1:15" x14ac:dyDescent="0.7">
      <c r="A36" s="82">
        <f t="shared" si="2"/>
        <v>35</v>
      </c>
      <c r="B36" s="84" t="s">
        <v>176</v>
      </c>
      <c r="C36" s="84" t="s">
        <v>177</v>
      </c>
      <c r="D36" s="84" t="s">
        <v>200</v>
      </c>
      <c r="E36" s="84">
        <v>3</v>
      </c>
      <c r="F36" s="84" t="s">
        <v>208</v>
      </c>
      <c r="G36" s="84">
        <v>0</v>
      </c>
      <c r="H36" s="84"/>
      <c r="I36" s="84"/>
      <c r="J36" s="86">
        <f t="shared" si="0"/>
        <v>0</v>
      </c>
      <c r="K36" s="83">
        <f t="shared" si="1"/>
        <v>0</v>
      </c>
      <c r="L36" s="84" t="s">
        <v>245</v>
      </c>
      <c r="M36" s="84" t="s">
        <v>264</v>
      </c>
      <c r="N36" s="84" t="s">
        <v>230</v>
      </c>
      <c r="O36" s="84" t="s">
        <v>313</v>
      </c>
    </row>
    <row r="37" spans="1:15" x14ac:dyDescent="0.7">
      <c r="A37" s="82">
        <f t="shared" si="2"/>
        <v>36</v>
      </c>
      <c r="B37" s="84" t="s">
        <v>176</v>
      </c>
      <c r="C37" s="84" t="s">
        <v>178</v>
      </c>
      <c r="D37" s="84" t="s">
        <v>200</v>
      </c>
      <c r="E37" s="84">
        <v>5</v>
      </c>
      <c r="F37" s="84" t="s">
        <v>211</v>
      </c>
      <c r="G37" s="84">
        <v>0</v>
      </c>
      <c r="H37" s="84"/>
      <c r="I37" s="84"/>
      <c r="J37" s="86">
        <f t="shared" si="0"/>
        <v>0</v>
      </c>
      <c r="K37" s="83">
        <f t="shared" si="1"/>
        <v>0</v>
      </c>
      <c r="L37" s="84" t="s">
        <v>246</v>
      </c>
      <c r="M37" s="84" t="s">
        <v>264</v>
      </c>
      <c r="N37" s="84" t="s">
        <v>245</v>
      </c>
      <c r="O37" s="84" t="s">
        <v>314</v>
      </c>
    </row>
    <row r="38" spans="1:15" x14ac:dyDescent="0.7">
      <c r="A38" s="82">
        <f t="shared" si="2"/>
        <v>37</v>
      </c>
      <c r="B38" s="84" t="s">
        <v>176</v>
      </c>
      <c r="C38" s="84" t="s">
        <v>179</v>
      </c>
      <c r="D38" s="84" t="s">
        <v>200</v>
      </c>
      <c r="E38" s="84">
        <v>3</v>
      </c>
      <c r="F38" s="84" t="s">
        <v>210</v>
      </c>
      <c r="G38" s="84">
        <v>0</v>
      </c>
      <c r="H38" s="84"/>
      <c r="I38" s="84"/>
      <c r="J38" s="86">
        <f t="shared" si="0"/>
        <v>0</v>
      </c>
      <c r="K38" s="83">
        <f t="shared" si="1"/>
        <v>0</v>
      </c>
      <c r="L38" s="84" t="s">
        <v>247</v>
      </c>
      <c r="M38" s="84" t="s">
        <v>214</v>
      </c>
      <c r="N38" s="84" t="s">
        <v>315</v>
      </c>
      <c r="O38" s="84" t="s">
        <v>316</v>
      </c>
    </row>
    <row r="39" spans="1:15" x14ac:dyDescent="0.7">
      <c r="A39" s="82">
        <f t="shared" si="2"/>
        <v>38</v>
      </c>
      <c r="B39" s="84" t="s">
        <v>176</v>
      </c>
      <c r="C39" s="84" t="s">
        <v>180</v>
      </c>
      <c r="D39" s="84" t="s">
        <v>200</v>
      </c>
      <c r="E39" s="84">
        <v>2</v>
      </c>
      <c r="F39" s="84" t="s">
        <v>35</v>
      </c>
      <c r="G39" s="84">
        <v>0</v>
      </c>
      <c r="H39" s="84"/>
      <c r="I39" s="84"/>
      <c r="J39" s="86">
        <f t="shared" si="0"/>
        <v>0</v>
      </c>
      <c r="K39" s="83">
        <f t="shared" si="1"/>
        <v>0</v>
      </c>
      <c r="L39" s="84" t="s">
        <v>248</v>
      </c>
      <c r="M39" s="84" t="s">
        <v>214</v>
      </c>
      <c r="N39" s="84" t="s">
        <v>317</v>
      </c>
      <c r="O39" s="84" t="s">
        <v>318</v>
      </c>
    </row>
    <row r="40" spans="1:15" x14ac:dyDescent="0.7">
      <c r="A40" s="82">
        <f t="shared" si="2"/>
        <v>39</v>
      </c>
      <c r="B40" s="84" t="s">
        <v>176</v>
      </c>
      <c r="C40" s="84" t="s">
        <v>181</v>
      </c>
      <c r="D40" s="84" t="s">
        <v>200</v>
      </c>
      <c r="E40" s="84">
        <v>3</v>
      </c>
      <c r="F40" s="84" t="s">
        <v>204</v>
      </c>
      <c r="G40" s="84">
        <v>0</v>
      </c>
      <c r="H40" s="84"/>
      <c r="I40" s="84"/>
      <c r="J40" s="86">
        <f t="shared" si="0"/>
        <v>0</v>
      </c>
      <c r="K40" s="83">
        <f t="shared" si="1"/>
        <v>0</v>
      </c>
      <c r="L40" s="84" t="s">
        <v>249</v>
      </c>
      <c r="M40" s="84" t="s">
        <v>214</v>
      </c>
      <c r="N40" s="84" t="s">
        <v>246</v>
      </c>
      <c r="O40" s="84" t="s">
        <v>319</v>
      </c>
    </row>
    <row r="41" spans="1:15" x14ac:dyDescent="0.7">
      <c r="A41" s="82">
        <f t="shared" si="2"/>
        <v>40</v>
      </c>
      <c r="B41" s="84" t="s">
        <v>176</v>
      </c>
      <c r="C41" s="84" t="s">
        <v>182</v>
      </c>
      <c r="D41" s="84" t="s">
        <v>200</v>
      </c>
      <c r="E41" s="84">
        <v>3</v>
      </c>
      <c r="F41" s="84" t="s">
        <v>208</v>
      </c>
      <c r="G41" s="84">
        <v>0</v>
      </c>
      <c r="H41" s="84"/>
      <c r="I41" s="84"/>
      <c r="J41" s="86">
        <f t="shared" si="0"/>
        <v>0</v>
      </c>
      <c r="K41" s="83">
        <f t="shared" si="1"/>
        <v>0</v>
      </c>
      <c r="L41" s="84" t="s">
        <v>250</v>
      </c>
      <c r="M41" s="84" t="s">
        <v>265</v>
      </c>
      <c r="N41" s="84" t="s">
        <v>320</v>
      </c>
      <c r="O41" s="84" t="s">
        <v>321</v>
      </c>
    </row>
    <row r="42" spans="1:15" x14ac:dyDescent="0.7">
      <c r="A42" s="82">
        <f t="shared" si="2"/>
        <v>41</v>
      </c>
      <c r="B42" s="84" t="s">
        <v>183</v>
      </c>
      <c r="C42" s="84" t="s">
        <v>184</v>
      </c>
      <c r="D42" s="84" t="s">
        <v>200</v>
      </c>
      <c r="E42" s="84">
        <v>2</v>
      </c>
      <c r="F42" s="84" t="s">
        <v>205</v>
      </c>
      <c r="G42" s="84">
        <v>0</v>
      </c>
      <c r="H42" s="84"/>
      <c r="I42" s="84"/>
      <c r="J42" s="86">
        <f t="shared" si="0"/>
        <v>0</v>
      </c>
      <c r="K42" s="83">
        <f t="shared" si="1"/>
        <v>0</v>
      </c>
      <c r="L42" s="84" t="s">
        <v>251</v>
      </c>
      <c r="M42" s="84" t="s">
        <v>214</v>
      </c>
      <c r="N42" s="84" t="s">
        <v>322</v>
      </c>
      <c r="O42" s="84" t="s">
        <v>323</v>
      </c>
    </row>
    <row r="43" spans="1:15" x14ac:dyDescent="0.7">
      <c r="A43" s="82">
        <f t="shared" si="2"/>
        <v>42</v>
      </c>
      <c r="B43" s="84" t="s">
        <v>183</v>
      </c>
      <c r="C43" s="84" t="s">
        <v>185</v>
      </c>
      <c r="D43" s="84" t="s">
        <v>200</v>
      </c>
      <c r="E43" s="84">
        <v>5</v>
      </c>
      <c r="F43" s="84" t="s">
        <v>208</v>
      </c>
      <c r="G43" s="84">
        <v>0</v>
      </c>
      <c r="H43" s="84"/>
      <c r="I43" s="84"/>
      <c r="J43" s="86">
        <f t="shared" si="0"/>
        <v>0</v>
      </c>
      <c r="K43" s="83">
        <f t="shared" si="1"/>
        <v>0</v>
      </c>
      <c r="L43" s="84" t="s">
        <v>252</v>
      </c>
      <c r="M43" s="84" t="s">
        <v>264</v>
      </c>
      <c r="N43" s="84" t="s">
        <v>251</v>
      </c>
      <c r="O43" s="84" t="s">
        <v>324</v>
      </c>
    </row>
    <row r="44" spans="1:15" x14ac:dyDescent="0.7">
      <c r="A44" s="82">
        <f t="shared" si="2"/>
        <v>43</v>
      </c>
      <c r="B44" s="84" t="s">
        <v>183</v>
      </c>
      <c r="C44" s="84" t="s">
        <v>186</v>
      </c>
      <c r="D44" s="84" t="s">
        <v>200</v>
      </c>
      <c r="E44" s="84">
        <v>5</v>
      </c>
      <c r="F44" s="84" t="s">
        <v>212</v>
      </c>
      <c r="G44" s="84">
        <v>0</v>
      </c>
      <c r="H44" s="84"/>
      <c r="I44" s="84"/>
      <c r="J44" s="86">
        <f t="shared" si="0"/>
        <v>0</v>
      </c>
      <c r="K44" s="83">
        <f t="shared" si="1"/>
        <v>0</v>
      </c>
      <c r="L44" s="84" t="s">
        <v>131</v>
      </c>
      <c r="M44" s="84" t="s">
        <v>264</v>
      </c>
      <c r="N44" s="84" t="s">
        <v>325</v>
      </c>
      <c r="O44" s="84" t="s">
        <v>326</v>
      </c>
    </row>
    <row r="45" spans="1:15" x14ac:dyDescent="0.7">
      <c r="A45" s="82">
        <f t="shared" si="2"/>
        <v>44</v>
      </c>
      <c r="B45" s="84" t="s">
        <v>183</v>
      </c>
      <c r="C45" s="84" t="s">
        <v>187</v>
      </c>
      <c r="D45" s="84" t="s">
        <v>200</v>
      </c>
      <c r="E45" s="84">
        <v>5</v>
      </c>
      <c r="F45" s="84" t="s">
        <v>204</v>
      </c>
      <c r="G45" s="84">
        <v>0</v>
      </c>
      <c r="H45" s="84"/>
      <c r="I45" s="84"/>
      <c r="J45" s="86">
        <f t="shared" si="0"/>
        <v>0</v>
      </c>
      <c r="K45" s="83">
        <f t="shared" si="1"/>
        <v>0</v>
      </c>
      <c r="L45" s="84" t="s">
        <v>253</v>
      </c>
      <c r="M45" s="84" t="s">
        <v>214</v>
      </c>
      <c r="N45" s="84" t="s">
        <v>327</v>
      </c>
      <c r="O45" s="84" t="s">
        <v>328</v>
      </c>
    </row>
    <row r="46" spans="1:15" x14ac:dyDescent="0.7">
      <c r="A46" s="82">
        <f t="shared" si="2"/>
        <v>45</v>
      </c>
      <c r="B46" s="84" t="s">
        <v>183</v>
      </c>
      <c r="C46" s="84" t="s">
        <v>188</v>
      </c>
      <c r="D46" s="84" t="s">
        <v>200</v>
      </c>
      <c r="E46" s="84">
        <v>1</v>
      </c>
      <c r="F46" s="84" t="s">
        <v>202</v>
      </c>
      <c r="G46" s="84">
        <v>0</v>
      </c>
      <c r="H46" s="84"/>
      <c r="I46" s="84"/>
      <c r="J46" s="86">
        <f t="shared" si="0"/>
        <v>0</v>
      </c>
      <c r="K46" s="83">
        <f t="shared" si="1"/>
        <v>0</v>
      </c>
      <c r="L46" s="84" t="s">
        <v>254</v>
      </c>
      <c r="M46" s="84" t="s">
        <v>214</v>
      </c>
      <c r="N46" s="84" t="s">
        <v>253</v>
      </c>
      <c r="O46" s="84" t="s">
        <v>329</v>
      </c>
    </row>
    <row r="47" spans="1:15" x14ac:dyDescent="0.7">
      <c r="A47" s="82">
        <f t="shared" si="2"/>
        <v>46</v>
      </c>
      <c r="B47" s="84" t="s">
        <v>183</v>
      </c>
      <c r="C47" s="84" t="s">
        <v>189</v>
      </c>
      <c r="D47" s="84" t="s">
        <v>200</v>
      </c>
      <c r="E47" s="84">
        <v>1</v>
      </c>
      <c r="F47" s="84" t="s">
        <v>206</v>
      </c>
      <c r="G47" s="84">
        <v>0</v>
      </c>
      <c r="H47" s="84"/>
      <c r="I47" s="84"/>
      <c r="J47" s="86">
        <f t="shared" si="0"/>
        <v>0</v>
      </c>
      <c r="K47" s="83">
        <f t="shared" si="1"/>
        <v>0</v>
      </c>
      <c r="L47" s="84" t="s">
        <v>255</v>
      </c>
      <c r="M47" s="84" t="s">
        <v>265</v>
      </c>
      <c r="N47" s="84" t="s">
        <v>330</v>
      </c>
      <c r="O47" s="84" t="s">
        <v>331</v>
      </c>
    </row>
    <row r="48" spans="1:15" x14ac:dyDescent="0.7">
      <c r="A48" s="82">
        <f t="shared" si="2"/>
        <v>47</v>
      </c>
      <c r="B48" s="84" t="s">
        <v>190</v>
      </c>
      <c r="C48" s="84" t="s">
        <v>191</v>
      </c>
      <c r="D48" s="84" t="s">
        <v>200</v>
      </c>
      <c r="E48" s="84">
        <v>1</v>
      </c>
      <c r="F48" s="84" t="s">
        <v>203</v>
      </c>
      <c r="G48" s="84">
        <v>0</v>
      </c>
      <c r="H48" s="84"/>
      <c r="I48" s="84"/>
      <c r="J48" s="86">
        <f t="shared" si="0"/>
        <v>0</v>
      </c>
      <c r="K48" s="83">
        <f t="shared" si="1"/>
        <v>0</v>
      </c>
      <c r="L48" s="84" t="s">
        <v>256</v>
      </c>
      <c r="M48" s="84" t="s">
        <v>214</v>
      </c>
      <c r="N48" s="84" t="s">
        <v>255</v>
      </c>
      <c r="O48" s="84" t="s">
        <v>332</v>
      </c>
    </row>
    <row r="49" spans="1:15" x14ac:dyDescent="0.7">
      <c r="A49" s="82">
        <f t="shared" si="2"/>
        <v>48</v>
      </c>
      <c r="B49" s="84" t="s">
        <v>190</v>
      </c>
      <c r="C49" s="84" t="s">
        <v>192</v>
      </c>
      <c r="D49" s="84" t="s">
        <v>200</v>
      </c>
      <c r="E49" s="84">
        <v>3</v>
      </c>
      <c r="F49" s="84" t="s">
        <v>205</v>
      </c>
      <c r="G49" s="84">
        <v>0</v>
      </c>
      <c r="H49" s="84"/>
      <c r="I49" s="84"/>
      <c r="J49" s="86">
        <f t="shared" si="0"/>
        <v>0</v>
      </c>
      <c r="K49" s="83">
        <f t="shared" si="1"/>
        <v>0</v>
      </c>
      <c r="L49" s="84" t="s">
        <v>257</v>
      </c>
      <c r="M49" s="84" t="s">
        <v>214</v>
      </c>
      <c r="N49" s="84" t="s">
        <v>256</v>
      </c>
      <c r="O49" s="84" t="s">
        <v>333</v>
      </c>
    </row>
    <row r="50" spans="1:15" x14ac:dyDescent="0.7">
      <c r="A50" s="82">
        <f t="shared" si="2"/>
        <v>49</v>
      </c>
      <c r="B50" s="84" t="s">
        <v>190</v>
      </c>
      <c r="C50" s="84" t="s">
        <v>193</v>
      </c>
      <c r="D50" s="84" t="s">
        <v>200</v>
      </c>
      <c r="E50" s="84">
        <v>2</v>
      </c>
      <c r="F50" s="84" t="s">
        <v>213</v>
      </c>
      <c r="G50" s="84">
        <v>0</v>
      </c>
      <c r="H50" s="84"/>
      <c r="I50" s="84"/>
      <c r="J50" s="86">
        <f t="shared" si="0"/>
        <v>0</v>
      </c>
      <c r="K50" s="83">
        <f t="shared" si="1"/>
        <v>0</v>
      </c>
      <c r="L50" s="84" t="s">
        <v>258</v>
      </c>
      <c r="M50" s="84" t="s">
        <v>265</v>
      </c>
      <c r="N50" s="84" t="s">
        <v>334</v>
      </c>
      <c r="O50" s="84" t="s">
        <v>335</v>
      </c>
    </row>
    <row r="51" spans="1:15" x14ac:dyDescent="0.7">
      <c r="A51" s="82">
        <f t="shared" si="2"/>
        <v>50</v>
      </c>
      <c r="B51" s="84" t="s">
        <v>190</v>
      </c>
      <c r="C51" s="84" t="s">
        <v>194</v>
      </c>
      <c r="D51" s="84" t="s">
        <v>200</v>
      </c>
      <c r="E51" s="84">
        <v>5</v>
      </c>
      <c r="F51" s="84" t="s">
        <v>204</v>
      </c>
      <c r="G51" s="84">
        <v>0</v>
      </c>
      <c r="H51" s="84"/>
      <c r="I51" s="84"/>
      <c r="J51" s="86">
        <f t="shared" si="0"/>
        <v>0</v>
      </c>
      <c r="K51" s="83">
        <f t="shared" si="1"/>
        <v>0</v>
      </c>
      <c r="L51" s="84" t="s">
        <v>259</v>
      </c>
      <c r="M51" s="84" t="s">
        <v>214</v>
      </c>
      <c r="N51" s="84" t="s">
        <v>258</v>
      </c>
      <c r="O51" s="84" t="s">
        <v>336</v>
      </c>
    </row>
    <row r="52" spans="1:15" x14ac:dyDescent="0.7">
      <c r="A52" s="82">
        <f t="shared" si="2"/>
        <v>51</v>
      </c>
      <c r="B52" s="84" t="s">
        <v>190</v>
      </c>
      <c r="C52" s="84" t="s">
        <v>195</v>
      </c>
      <c r="D52" s="84" t="s">
        <v>200</v>
      </c>
      <c r="E52" s="84">
        <v>2</v>
      </c>
      <c r="F52" s="84" t="s">
        <v>202</v>
      </c>
      <c r="G52" s="84">
        <v>0</v>
      </c>
      <c r="H52" s="84"/>
      <c r="I52" s="84"/>
      <c r="J52" s="86">
        <f t="shared" si="0"/>
        <v>0</v>
      </c>
      <c r="K52" s="83">
        <f t="shared" si="1"/>
        <v>0</v>
      </c>
      <c r="L52" s="84" t="s">
        <v>260</v>
      </c>
      <c r="M52" s="84" t="s">
        <v>214</v>
      </c>
      <c r="N52" s="84" t="s">
        <v>259</v>
      </c>
      <c r="O52" s="84" t="s">
        <v>337</v>
      </c>
    </row>
    <row r="53" spans="1:15" x14ac:dyDescent="0.7">
      <c r="A53" s="82">
        <f t="shared" si="2"/>
        <v>52</v>
      </c>
      <c r="B53" s="84" t="s">
        <v>114</v>
      </c>
      <c r="C53" s="84" t="s">
        <v>196</v>
      </c>
      <c r="D53" s="84" t="s">
        <v>201</v>
      </c>
      <c r="E53" s="84">
        <v>0</v>
      </c>
      <c r="F53" s="84" t="s">
        <v>203</v>
      </c>
      <c r="G53" s="84">
        <v>0</v>
      </c>
      <c r="H53" s="84"/>
      <c r="I53" s="84"/>
      <c r="J53" s="86">
        <f t="shared" si="0"/>
        <v>0</v>
      </c>
      <c r="K53" s="83">
        <f t="shared" si="1"/>
        <v>0</v>
      </c>
      <c r="L53" s="84" t="s">
        <v>133</v>
      </c>
      <c r="M53" s="84" t="s">
        <v>266</v>
      </c>
      <c r="N53" s="84" t="s">
        <v>260</v>
      </c>
      <c r="O53" s="84" t="s">
        <v>338</v>
      </c>
    </row>
    <row r="54" spans="1:15" x14ac:dyDescent="0.7">
      <c r="A54" s="82">
        <f t="shared" si="2"/>
        <v>53</v>
      </c>
      <c r="B54" s="84" t="s">
        <v>114</v>
      </c>
      <c r="C54" s="84" t="s">
        <v>197</v>
      </c>
      <c r="D54" s="84" t="s">
        <v>201</v>
      </c>
      <c r="E54" s="84">
        <v>5</v>
      </c>
      <c r="F54" s="84" t="s">
        <v>211</v>
      </c>
      <c r="G54" s="84">
        <v>0</v>
      </c>
      <c r="H54" s="84"/>
      <c r="I54" s="84"/>
      <c r="J54" s="86">
        <f t="shared" si="0"/>
        <v>0</v>
      </c>
      <c r="K54" s="83">
        <f t="shared" si="1"/>
        <v>0</v>
      </c>
      <c r="L54" s="84" t="s">
        <v>261</v>
      </c>
      <c r="M54" s="84" t="s">
        <v>266</v>
      </c>
      <c r="N54" s="84" t="s">
        <v>339</v>
      </c>
      <c r="O54" s="84" t="s">
        <v>340</v>
      </c>
    </row>
    <row r="55" spans="1:15" x14ac:dyDescent="0.7">
      <c r="A55" s="82">
        <f t="shared" si="2"/>
        <v>54</v>
      </c>
      <c r="B55" s="84" t="s">
        <v>114</v>
      </c>
      <c r="C55" s="84" t="s">
        <v>198</v>
      </c>
      <c r="D55" s="84" t="s">
        <v>201</v>
      </c>
      <c r="E55" s="84">
        <v>3</v>
      </c>
      <c r="F55" s="84" t="s">
        <v>204</v>
      </c>
      <c r="G55" s="84">
        <v>0</v>
      </c>
      <c r="H55" s="84"/>
      <c r="I55" s="84"/>
      <c r="J55" s="86">
        <f t="shared" si="0"/>
        <v>0</v>
      </c>
      <c r="K55" s="83">
        <f t="shared" si="1"/>
        <v>0</v>
      </c>
      <c r="L55" s="84" t="s">
        <v>262</v>
      </c>
      <c r="M55" s="84" t="s">
        <v>214</v>
      </c>
      <c r="N55" s="84" t="s">
        <v>341</v>
      </c>
      <c r="O55" s="84" t="s">
        <v>342</v>
      </c>
    </row>
  </sheetData>
  <autoFilter ref="B1:K55" xr:uid="{438163B4-B02B-40FC-859A-E239180429F7}"/>
  <dataValidations count="2">
    <dataValidation type="list" sqref="D2:D55" xr:uid="{1BB16411-6A85-4466-BAED-4C543F4C42C1}">
      <formula1>"Release 1,Release 2,Release 3"</formula1>
    </dataValidation>
    <dataValidation type="list" sqref="M2:M55" xr:uid="{BE374D22-8580-4D61-A3D9-856FC5CA9E98}">
      <formula1>"Epic,Story,Task,Spike,Milestone,Bug"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FFB-B5BC-4AFE-80CB-101F3BBEAC26}">
  <dimension ref="B1:S36"/>
  <sheetViews>
    <sheetView showGridLines="0" topLeftCell="A9" zoomScale="170" zoomScaleNormal="170" workbookViewId="0">
      <selection activeCell="D5" sqref="D5"/>
    </sheetView>
  </sheetViews>
  <sheetFormatPr defaultColWidth="8.6640625" defaultRowHeight="15.6" x14ac:dyDescent="0.55000000000000004"/>
  <cols>
    <col min="1" max="1" width="8.6640625" style="3"/>
    <col min="2" max="2" width="19.44140625" style="3" bestFit="1" customWidth="1"/>
    <col min="3" max="3" width="21.6640625" style="3" bestFit="1" customWidth="1"/>
    <col min="4" max="4" width="16" style="3" bestFit="1" customWidth="1"/>
    <col min="5" max="5" width="16.6640625" style="3" bestFit="1" customWidth="1"/>
    <col min="6" max="6" width="16.5546875" style="3" bestFit="1" customWidth="1"/>
    <col min="7" max="9" width="15.33203125" style="3" bestFit="1" customWidth="1"/>
    <col min="10" max="12" width="16" style="3" bestFit="1" customWidth="1"/>
    <col min="13" max="13" width="8.6640625" style="3"/>
    <col min="14" max="14" width="8.44140625" style="3" bestFit="1" customWidth="1"/>
    <col min="15" max="15" width="7.33203125" style="3" bestFit="1" customWidth="1"/>
    <col min="16" max="16" width="9.6640625" style="3" bestFit="1" customWidth="1"/>
    <col min="17" max="17" width="6.6640625" style="3" bestFit="1" customWidth="1"/>
    <col min="18" max="18" width="21.5546875" style="3" bestFit="1" customWidth="1"/>
    <col min="19" max="19" width="9.6640625" style="3" bestFit="1" customWidth="1"/>
    <col min="20" max="20" width="8.6640625" style="3"/>
    <col min="21" max="21" width="21.5546875" style="3" bestFit="1" customWidth="1"/>
    <col min="22" max="16384" width="8.6640625" style="3"/>
  </cols>
  <sheetData>
    <row r="1" spans="2:19" ht="16.2" thickBot="1" x14ac:dyDescent="0.6"/>
    <row r="2" spans="2:19" ht="16.2" thickBot="1" x14ac:dyDescent="0.6">
      <c r="B2" s="44">
        <v>46113</v>
      </c>
      <c r="D2" s="91" t="s">
        <v>15</v>
      </c>
      <c r="E2" s="92"/>
      <c r="F2" s="91" t="s">
        <v>16</v>
      </c>
      <c r="G2" s="93"/>
      <c r="H2" s="93"/>
      <c r="I2" s="93"/>
      <c r="J2" s="92"/>
      <c r="K2" s="46" t="s">
        <v>17</v>
      </c>
    </row>
    <row r="3" spans="2:19" x14ac:dyDescent="0.55000000000000004">
      <c r="B3" s="6"/>
      <c r="C3" s="6"/>
      <c r="D3" s="7">
        <v>20</v>
      </c>
      <c r="E3" s="7">
        <v>20</v>
      </c>
      <c r="F3" s="7">
        <v>20</v>
      </c>
      <c r="G3" s="7">
        <v>20</v>
      </c>
      <c r="H3" s="7">
        <v>20</v>
      </c>
      <c r="I3" s="7">
        <v>20</v>
      </c>
      <c r="J3" s="7">
        <v>20</v>
      </c>
      <c r="K3" s="7">
        <v>20</v>
      </c>
      <c r="L3" s="8" t="s">
        <v>31</v>
      </c>
      <c r="M3" s="7"/>
      <c r="N3" s="6"/>
      <c r="O3" s="6"/>
      <c r="P3" s="6"/>
      <c r="Q3" s="6"/>
      <c r="R3" s="6"/>
      <c r="S3" s="6"/>
    </row>
    <row r="4" spans="2:19" x14ac:dyDescent="0.55000000000000004">
      <c r="B4" s="9" t="s">
        <v>32</v>
      </c>
      <c r="C4" s="9" t="s">
        <v>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1"/>
      <c r="M4" s="11"/>
      <c r="N4" s="11"/>
      <c r="O4" s="11"/>
      <c r="P4" s="11"/>
      <c r="Q4" s="11"/>
      <c r="R4" s="11"/>
      <c r="S4" s="11"/>
    </row>
    <row r="5" spans="2:19" x14ac:dyDescent="0.55000000000000004">
      <c r="B5" s="12" t="s">
        <v>51</v>
      </c>
      <c r="C5" s="12" t="s">
        <v>28</v>
      </c>
      <c r="D5" s="13">
        <v>0.5</v>
      </c>
      <c r="E5" s="13">
        <v>0.5</v>
      </c>
      <c r="F5" s="13">
        <v>0.2</v>
      </c>
      <c r="G5" s="13">
        <v>0.2</v>
      </c>
      <c r="H5" s="13">
        <v>0.2</v>
      </c>
      <c r="I5" s="13">
        <v>0.2</v>
      </c>
      <c r="J5" s="13">
        <v>0.2</v>
      </c>
      <c r="K5" s="13">
        <v>0.1</v>
      </c>
      <c r="L5" s="48">
        <f>AVERAGE(D5:K5)</f>
        <v>0.26249999999999996</v>
      </c>
      <c r="M5" s="14"/>
      <c r="N5" s="6"/>
      <c r="O5" s="6"/>
      <c r="P5" s="6"/>
      <c r="Q5" s="6"/>
      <c r="R5" s="6"/>
      <c r="S5" s="6"/>
    </row>
    <row r="6" spans="2:19" x14ac:dyDescent="0.55000000000000004">
      <c r="B6" s="12" t="s">
        <v>33</v>
      </c>
      <c r="C6" s="12" t="s">
        <v>28</v>
      </c>
      <c r="D6" s="13">
        <v>0.5</v>
      </c>
      <c r="E6" s="13">
        <v>0.5</v>
      </c>
      <c r="F6" s="13">
        <v>0.25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48">
        <f>AVERAGE(D6:K6)</f>
        <v>0.15625</v>
      </c>
      <c r="M6" s="14"/>
      <c r="N6" s="6"/>
      <c r="O6" s="6"/>
      <c r="P6" s="6"/>
      <c r="Q6" s="6"/>
      <c r="R6" s="6"/>
      <c r="S6" s="6"/>
    </row>
    <row r="7" spans="2:19" x14ac:dyDescent="0.55000000000000004">
      <c r="B7" s="12" t="s">
        <v>34</v>
      </c>
      <c r="C7" s="12" t="s">
        <v>28</v>
      </c>
      <c r="D7" s="13">
        <v>0.5</v>
      </c>
      <c r="E7" s="13">
        <v>0.5</v>
      </c>
      <c r="F7" s="13">
        <v>0.25</v>
      </c>
      <c r="G7" s="13">
        <v>0.1</v>
      </c>
      <c r="H7" s="13">
        <v>0.1</v>
      </c>
      <c r="I7" s="13">
        <v>0.1</v>
      </c>
      <c r="J7" s="13">
        <v>0.1</v>
      </c>
      <c r="K7" s="13">
        <v>0</v>
      </c>
      <c r="L7" s="48">
        <f>AVERAGE(D7:K7)</f>
        <v>0.20625000000000004</v>
      </c>
      <c r="M7" s="14"/>
      <c r="N7" s="6"/>
      <c r="O7" s="6"/>
      <c r="P7" s="6"/>
      <c r="Q7" s="6"/>
      <c r="R7" s="6"/>
      <c r="S7" s="6"/>
    </row>
    <row r="8" spans="2:19" x14ac:dyDescent="0.55000000000000004">
      <c r="B8" s="12" t="s">
        <v>35</v>
      </c>
      <c r="C8" s="12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48">
        <f>AVERAGE(D8:K8)</f>
        <v>0</v>
      </c>
      <c r="M8" s="14"/>
      <c r="N8" s="6"/>
      <c r="O8" s="6"/>
      <c r="P8" s="6"/>
      <c r="Q8" s="6"/>
      <c r="R8" s="6"/>
      <c r="S8" s="6"/>
    </row>
    <row r="9" spans="2:19" x14ac:dyDescent="0.55000000000000004">
      <c r="B9" s="72" t="s">
        <v>36</v>
      </c>
      <c r="C9" s="72"/>
      <c r="D9" s="73">
        <f>SUM(D5:D8)</f>
        <v>1.5</v>
      </c>
      <c r="E9" s="73">
        <f t="shared" ref="E9:K9" si="0">SUM(E5:E8)</f>
        <v>1.5</v>
      </c>
      <c r="F9" s="73">
        <f t="shared" si="0"/>
        <v>0.7</v>
      </c>
      <c r="G9" s="73">
        <f t="shared" si="0"/>
        <v>0.30000000000000004</v>
      </c>
      <c r="H9" s="73">
        <f t="shared" si="0"/>
        <v>0.30000000000000004</v>
      </c>
      <c r="I9" s="73">
        <f t="shared" si="0"/>
        <v>0.30000000000000004</v>
      </c>
      <c r="J9" s="73">
        <f t="shared" si="0"/>
        <v>0.30000000000000004</v>
      </c>
      <c r="K9" s="73">
        <f t="shared" si="0"/>
        <v>0.1</v>
      </c>
      <c r="L9" s="11"/>
      <c r="M9" s="11"/>
      <c r="N9" s="11"/>
      <c r="O9" s="11"/>
      <c r="P9" s="11"/>
      <c r="Q9" s="11"/>
      <c r="R9" s="11"/>
      <c r="S9" s="11"/>
    </row>
    <row r="10" spans="2:19" x14ac:dyDescent="0.55000000000000004"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6"/>
      <c r="M10" s="6"/>
      <c r="N10" s="6"/>
      <c r="O10" s="6"/>
      <c r="P10" s="6"/>
      <c r="Q10" s="6"/>
      <c r="R10" s="6"/>
      <c r="S10" s="6"/>
    </row>
    <row r="11" spans="2:19" x14ac:dyDescent="0.55000000000000004">
      <c r="B11" s="9" t="s">
        <v>32</v>
      </c>
      <c r="C11" s="9" t="s">
        <v>2</v>
      </c>
      <c r="D11" s="10" t="s">
        <v>43</v>
      </c>
      <c r="E11" s="10" t="s">
        <v>44</v>
      </c>
      <c r="F11" s="10" t="s">
        <v>45</v>
      </c>
      <c r="G11" s="10" t="s">
        <v>46</v>
      </c>
      <c r="H11" s="10" t="s">
        <v>47</v>
      </c>
      <c r="I11" s="10" t="s">
        <v>48</v>
      </c>
      <c r="J11" s="10" t="s">
        <v>49</v>
      </c>
      <c r="K11" s="10" t="s">
        <v>50</v>
      </c>
      <c r="L11" s="8" t="s">
        <v>36</v>
      </c>
      <c r="M11" s="8"/>
      <c r="N11" s="8" t="s">
        <v>37</v>
      </c>
      <c r="O11" s="15" t="s">
        <v>38</v>
      </c>
      <c r="P11" s="8" t="s">
        <v>39</v>
      </c>
      <c r="Q11" s="8" t="s">
        <v>40</v>
      </c>
      <c r="R11" s="8" t="s">
        <v>52</v>
      </c>
      <c r="S11" s="8" t="s">
        <v>53</v>
      </c>
    </row>
    <row r="12" spans="2:19" x14ac:dyDescent="0.55000000000000004">
      <c r="B12" s="12" t="s">
        <v>51</v>
      </c>
      <c r="C12" s="12" t="s">
        <v>28</v>
      </c>
      <c r="D12" s="49">
        <f>D5*D3</f>
        <v>10</v>
      </c>
      <c r="E12" s="49">
        <f t="shared" ref="E12:K12" si="1">E5*E3</f>
        <v>10</v>
      </c>
      <c r="F12" s="49">
        <f t="shared" si="1"/>
        <v>4</v>
      </c>
      <c r="G12" s="49">
        <f t="shared" si="1"/>
        <v>4</v>
      </c>
      <c r="H12" s="49">
        <f t="shared" si="1"/>
        <v>4</v>
      </c>
      <c r="I12" s="49">
        <f t="shared" si="1"/>
        <v>4</v>
      </c>
      <c r="J12" s="49">
        <f t="shared" si="1"/>
        <v>4</v>
      </c>
      <c r="K12" s="49">
        <f t="shared" si="1"/>
        <v>2</v>
      </c>
      <c r="L12" s="49">
        <f>SUM(D12:K12)</f>
        <v>42</v>
      </c>
      <c r="M12" s="6"/>
      <c r="N12" s="51">
        <f>O12/8</f>
        <v>37.5</v>
      </c>
      <c r="O12" s="19">
        <v>300</v>
      </c>
      <c r="P12" s="52">
        <f>O12*L12</f>
        <v>12600</v>
      </c>
      <c r="Q12" s="54">
        <f>L12*8</f>
        <v>336</v>
      </c>
      <c r="R12" s="55">
        <f t="shared" ref="R12:R15" si="2">Q12/8</f>
        <v>42</v>
      </c>
      <c r="S12" s="52">
        <f>R12*O12</f>
        <v>12600</v>
      </c>
    </row>
    <row r="13" spans="2:19" x14ac:dyDescent="0.55000000000000004">
      <c r="B13" s="12" t="s">
        <v>33</v>
      </c>
      <c r="C13" s="12" t="s">
        <v>28</v>
      </c>
      <c r="D13" s="49">
        <f t="shared" ref="D13:K13" si="3">D6*D3</f>
        <v>10</v>
      </c>
      <c r="E13" s="49">
        <f t="shared" si="3"/>
        <v>10</v>
      </c>
      <c r="F13" s="49">
        <f t="shared" si="3"/>
        <v>5</v>
      </c>
      <c r="G13" s="49">
        <f t="shared" si="3"/>
        <v>0</v>
      </c>
      <c r="H13" s="49">
        <f t="shared" si="3"/>
        <v>0</v>
      </c>
      <c r="I13" s="49">
        <f t="shared" si="3"/>
        <v>0</v>
      </c>
      <c r="J13" s="49">
        <f t="shared" si="3"/>
        <v>0</v>
      </c>
      <c r="K13" s="49">
        <f t="shared" si="3"/>
        <v>0</v>
      </c>
      <c r="L13" s="49">
        <f>SUM(D13:K13)</f>
        <v>25</v>
      </c>
      <c r="M13" s="6"/>
      <c r="N13" s="51">
        <f t="shared" ref="N13:N15" si="4">O13/8</f>
        <v>37.5</v>
      </c>
      <c r="O13" s="19">
        <v>300</v>
      </c>
      <c r="P13" s="52">
        <f>O13*L13</f>
        <v>7500</v>
      </c>
      <c r="Q13" s="54">
        <f>L13*8</f>
        <v>200</v>
      </c>
      <c r="R13" s="55">
        <f t="shared" si="2"/>
        <v>25</v>
      </c>
      <c r="S13" s="52">
        <f t="shared" ref="S13:S15" si="5">R13*O13</f>
        <v>7500</v>
      </c>
    </row>
    <row r="14" spans="2:19" x14ac:dyDescent="0.55000000000000004">
      <c r="B14" s="12" t="s">
        <v>34</v>
      </c>
      <c r="C14" s="12" t="s">
        <v>28</v>
      </c>
      <c r="D14" s="49">
        <f t="shared" ref="D14:K14" si="6">D7*D$3</f>
        <v>10</v>
      </c>
      <c r="E14" s="49">
        <f t="shared" si="6"/>
        <v>10</v>
      </c>
      <c r="F14" s="49">
        <f t="shared" si="6"/>
        <v>5</v>
      </c>
      <c r="G14" s="49">
        <f t="shared" si="6"/>
        <v>2</v>
      </c>
      <c r="H14" s="49">
        <f t="shared" si="6"/>
        <v>2</v>
      </c>
      <c r="I14" s="49">
        <f t="shared" si="6"/>
        <v>2</v>
      </c>
      <c r="J14" s="49">
        <f t="shared" si="6"/>
        <v>2</v>
      </c>
      <c r="K14" s="49">
        <f t="shared" si="6"/>
        <v>0</v>
      </c>
      <c r="L14" s="49">
        <f>SUM(D14:K14)</f>
        <v>33</v>
      </c>
      <c r="M14" s="6"/>
      <c r="N14" s="51">
        <f t="shared" si="4"/>
        <v>37.5</v>
      </c>
      <c r="O14" s="19">
        <v>300</v>
      </c>
      <c r="P14" s="52">
        <f>O14*L14</f>
        <v>9900</v>
      </c>
      <c r="Q14" s="54">
        <f>L14*8</f>
        <v>264</v>
      </c>
      <c r="R14" s="55">
        <f t="shared" si="2"/>
        <v>33</v>
      </c>
      <c r="S14" s="52">
        <f t="shared" si="5"/>
        <v>9900</v>
      </c>
    </row>
    <row r="15" spans="2:19" x14ac:dyDescent="0.55000000000000004">
      <c r="B15" s="12" t="s">
        <v>35</v>
      </c>
      <c r="C15" s="12" t="s">
        <v>25</v>
      </c>
      <c r="D15" s="49">
        <v>34</v>
      </c>
      <c r="E15" s="49">
        <v>34</v>
      </c>
      <c r="F15" s="49">
        <v>18.5</v>
      </c>
      <c r="G15" s="49">
        <v>18.5</v>
      </c>
      <c r="H15" s="49">
        <v>18.5</v>
      </c>
      <c r="I15" s="49">
        <v>18.5</v>
      </c>
      <c r="J15" s="49">
        <v>18.5</v>
      </c>
      <c r="K15" s="49">
        <v>18.5</v>
      </c>
      <c r="L15" s="49">
        <f>SUM(D15:K15)</f>
        <v>179</v>
      </c>
      <c r="M15" s="6"/>
      <c r="N15" s="51">
        <f t="shared" si="4"/>
        <v>38.75</v>
      </c>
      <c r="O15" s="19">
        <v>310</v>
      </c>
      <c r="P15" s="52">
        <f>O15*L15</f>
        <v>55490</v>
      </c>
      <c r="Q15" s="54">
        <f>L15*8</f>
        <v>1432</v>
      </c>
      <c r="R15" s="55">
        <f t="shared" si="2"/>
        <v>179</v>
      </c>
      <c r="S15" s="52">
        <f t="shared" si="5"/>
        <v>55490</v>
      </c>
    </row>
    <row r="16" spans="2:19" x14ac:dyDescent="0.55000000000000004">
      <c r="B16" s="15" t="s">
        <v>36</v>
      </c>
      <c r="C16" s="15"/>
      <c r="D16" s="50">
        <f t="shared" ref="D16:L16" si="7">SUM(D12:D15)</f>
        <v>64</v>
      </c>
      <c r="E16" s="50">
        <f t="shared" si="7"/>
        <v>64</v>
      </c>
      <c r="F16" s="50">
        <f t="shared" si="7"/>
        <v>32.5</v>
      </c>
      <c r="G16" s="50">
        <f t="shared" si="7"/>
        <v>24.5</v>
      </c>
      <c r="H16" s="50">
        <f t="shared" si="7"/>
        <v>24.5</v>
      </c>
      <c r="I16" s="50">
        <f t="shared" si="7"/>
        <v>24.5</v>
      </c>
      <c r="J16" s="50">
        <f t="shared" si="7"/>
        <v>24.5</v>
      </c>
      <c r="K16" s="50">
        <f t="shared" si="7"/>
        <v>20.5</v>
      </c>
      <c r="L16" s="50">
        <f t="shared" si="7"/>
        <v>279</v>
      </c>
      <c r="M16" s="20"/>
      <c r="N16" s="11"/>
      <c r="O16" s="11"/>
      <c r="P16" s="53">
        <f>SUM(P12:P15)</f>
        <v>85490</v>
      </c>
      <c r="Q16" s="53">
        <f>SUM(Q12:Q15)</f>
        <v>2232</v>
      </c>
      <c r="R16" s="53">
        <f>SUM(R12:R15)</f>
        <v>279</v>
      </c>
      <c r="S16" s="56">
        <f>SUM(S12:S15)</f>
        <v>85490</v>
      </c>
    </row>
    <row r="18" spans="2:19" x14ac:dyDescent="0.55000000000000004">
      <c r="C18" s="5" t="s">
        <v>41</v>
      </c>
      <c r="D18" s="58">
        <f>D16/D3</f>
        <v>3.2</v>
      </c>
      <c r="E18" s="58">
        <f t="shared" ref="E18:J18" si="8">E16/E3</f>
        <v>3.2</v>
      </c>
      <c r="F18" s="58">
        <f t="shared" si="8"/>
        <v>1.625</v>
      </c>
      <c r="G18" s="58">
        <f t="shared" si="8"/>
        <v>1.2250000000000001</v>
      </c>
      <c r="H18" s="58">
        <f t="shared" si="8"/>
        <v>1.2250000000000001</v>
      </c>
      <c r="I18" s="58">
        <f t="shared" si="8"/>
        <v>1.2250000000000001</v>
      </c>
      <c r="J18" s="58">
        <f t="shared" si="8"/>
        <v>1.2250000000000001</v>
      </c>
      <c r="K18" s="58">
        <f>K16/K3</f>
        <v>1.0249999999999999</v>
      </c>
      <c r="O18" s="45"/>
      <c r="R18" s="18" t="s">
        <v>42</v>
      </c>
      <c r="S18" s="57">
        <f>S16/R16</f>
        <v>306.415770609319</v>
      </c>
    </row>
    <row r="19" spans="2:19" x14ac:dyDescent="0.55000000000000004">
      <c r="O19" s="45"/>
      <c r="P19" s="4"/>
      <c r="Q19" s="4"/>
    </row>
    <row r="20" spans="2:19" x14ac:dyDescent="0.55000000000000004">
      <c r="B20" s="9" t="s">
        <v>32</v>
      </c>
      <c r="C20" s="9" t="s">
        <v>2</v>
      </c>
      <c r="D20" s="10" t="s">
        <v>43</v>
      </c>
      <c r="E20" s="10" t="s">
        <v>44</v>
      </c>
      <c r="F20" s="10" t="s">
        <v>45</v>
      </c>
      <c r="G20" s="10" t="s">
        <v>46</v>
      </c>
      <c r="H20" s="10" t="s">
        <v>47</v>
      </c>
      <c r="I20" s="10" t="s">
        <v>48</v>
      </c>
      <c r="J20" s="10" t="s">
        <v>49</v>
      </c>
      <c r="K20" s="10" t="s">
        <v>50</v>
      </c>
    </row>
    <row r="21" spans="2:19" x14ac:dyDescent="0.55000000000000004">
      <c r="B21" s="12" t="s">
        <v>51</v>
      </c>
      <c r="C21" s="12" t="s">
        <v>28</v>
      </c>
      <c r="D21" s="59">
        <f>O12*D12</f>
        <v>3000</v>
      </c>
      <c r="E21" s="59">
        <f>E12*O12</f>
        <v>3000</v>
      </c>
      <c r="F21" s="59">
        <f>F12*O12</f>
        <v>1200</v>
      </c>
      <c r="G21" s="59">
        <f>G12*O12</f>
        <v>1200</v>
      </c>
      <c r="H21" s="59">
        <f>H12*O12</f>
        <v>1200</v>
      </c>
      <c r="I21" s="59">
        <f>I12*O12</f>
        <v>1200</v>
      </c>
      <c r="J21" s="59">
        <f>J12*O12</f>
        <v>1200</v>
      </c>
      <c r="K21" s="59">
        <f>K12*O12</f>
        <v>600</v>
      </c>
    </row>
    <row r="22" spans="2:19" x14ac:dyDescent="0.55000000000000004">
      <c r="B22" s="12" t="s">
        <v>33</v>
      </c>
      <c r="C22" s="12" t="s">
        <v>28</v>
      </c>
      <c r="D22" s="59">
        <f>O13*D13</f>
        <v>3000</v>
      </c>
      <c r="E22" s="59">
        <f>E13*O13</f>
        <v>3000</v>
      </c>
      <c r="F22" s="59">
        <f>F13*O13</f>
        <v>1500</v>
      </c>
      <c r="G22" s="59">
        <f>G13*O13</f>
        <v>0</v>
      </c>
      <c r="H22" s="59">
        <f>H13*O13</f>
        <v>0</v>
      </c>
      <c r="I22" s="59">
        <f>I13*O13</f>
        <v>0</v>
      </c>
      <c r="J22" s="59">
        <f>J13*O13</f>
        <v>0</v>
      </c>
      <c r="K22" s="59">
        <f>K13*O13</f>
        <v>0</v>
      </c>
    </row>
    <row r="23" spans="2:19" x14ac:dyDescent="0.55000000000000004">
      <c r="B23" s="12" t="s">
        <v>34</v>
      </c>
      <c r="C23" s="12" t="s">
        <v>28</v>
      </c>
      <c r="D23" s="59">
        <f>O14*D14</f>
        <v>3000</v>
      </c>
      <c r="E23" s="59">
        <f>E14*O14</f>
        <v>3000</v>
      </c>
      <c r="F23" s="59">
        <f>F14*O14</f>
        <v>1500</v>
      </c>
      <c r="G23" s="59">
        <f>G14*O14</f>
        <v>600</v>
      </c>
      <c r="H23" s="59">
        <f>H14*O14</f>
        <v>600</v>
      </c>
      <c r="I23" s="59">
        <f>I14*O14</f>
        <v>600</v>
      </c>
      <c r="J23" s="59">
        <f>J14*O14</f>
        <v>600</v>
      </c>
      <c r="K23" s="59">
        <f>K14*O14</f>
        <v>0</v>
      </c>
    </row>
    <row r="24" spans="2:19" x14ac:dyDescent="0.55000000000000004">
      <c r="B24" s="12" t="s">
        <v>35</v>
      </c>
      <c r="C24" s="12" t="s">
        <v>25</v>
      </c>
      <c r="D24" s="59">
        <f>O15*D15</f>
        <v>10540</v>
      </c>
      <c r="E24" s="59">
        <f>E15*O15</f>
        <v>10540</v>
      </c>
      <c r="F24" s="59">
        <f>F15*O15+30000</f>
        <v>35735</v>
      </c>
      <c r="G24" s="59">
        <f>G15*O15</f>
        <v>5735</v>
      </c>
      <c r="H24" s="59">
        <f>H15*O15</f>
        <v>5735</v>
      </c>
      <c r="I24" s="59">
        <f>I15*O15</f>
        <v>5735</v>
      </c>
      <c r="J24" s="59">
        <f>J15*O15</f>
        <v>5735</v>
      </c>
      <c r="K24" s="59">
        <f>K15*O15</f>
        <v>5735</v>
      </c>
    </row>
    <row r="25" spans="2:19" x14ac:dyDescent="0.55000000000000004">
      <c r="B25" s="15" t="s">
        <v>36</v>
      </c>
      <c r="C25" s="15"/>
      <c r="D25" s="60">
        <f>SUM(D21:D24)</f>
        <v>19540</v>
      </c>
      <c r="E25" s="60">
        <f t="shared" ref="E25:K25" si="9">SUM(E21:E24)</f>
        <v>19540</v>
      </c>
      <c r="F25" s="60">
        <f t="shared" si="9"/>
        <v>39935</v>
      </c>
      <c r="G25" s="60">
        <f t="shared" si="9"/>
        <v>7535</v>
      </c>
      <c r="H25" s="60">
        <f t="shared" si="9"/>
        <v>7535</v>
      </c>
      <c r="I25" s="60">
        <f t="shared" si="9"/>
        <v>7535</v>
      </c>
      <c r="J25" s="60">
        <f t="shared" si="9"/>
        <v>7535</v>
      </c>
      <c r="K25" s="60">
        <f t="shared" si="9"/>
        <v>6335</v>
      </c>
      <c r="L25" s="62">
        <f>SUM(D25:K25)</f>
        <v>115490</v>
      </c>
    </row>
    <row r="26" spans="2:19" x14ac:dyDescent="0.55000000000000004">
      <c r="B26" s="43" t="s">
        <v>88</v>
      </c>
      <c r="C26" s="15"/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1</v>
      </c>
      <c r="L26" s="21"/>
    </row>
    <row r="27" spans="2:19" x14ac:dyDescent="0.55000000000000004">
      <c r="B27" s="43" t="s">
        <v>87</v>
      </c>
      <c r="D27" s="61">
        <f>D26*'05_Risk_Assessment'!$J$13</f>
        <v>0</v>
      </c>
      <c r="E27" s="61">
        <f>E26*'05_Risk_Assessment'!$J$13</f>
        <v>0</v>
      </c>
      <c r="F27" s="61">
        <f>F26*'05_Risk_Assessment'!$J$13</f>
        <v>0</v>
      </c>
      <c r="G27" s="61">
        <f>G26*'05_Risk_Assessment'!$J$13</f>
        <v>0</v>
      </c>
      <c r="H27" s="61">
        <f>H26*'05_Risk_Assessment'!$J$13</f>
        <v>0</v>
      </c>
      <c r="I27" s="61">
        <f>I26*'05_Risk_Assessment'!$J$13</f>
        <v>0</v>
      </c>
      <c r="J27" s="61">
        <f>J26*'05_Risk_Assessment'!$J$13</f>
        <v>0</v>
      </c>
      <c r="K27" s="61">
        <f>K26*'05_Risk_Assessment'!$J$13</f>
        <v>7110</v>
      </c>
      <c r="L27" s="62">
        <f>SUM(D27:K27)</f>
        <v>7110</v>
      </c>
    </row>
    <row r="29" spans="2:19" x14ac:dyDescent="0.55000000000000004">
      <c r="B29" s="11"/>
      <c r="D29" s="8" t="s">
        <v>43</v>
      </c>
      <c r="E29" s="8" t="s">
        <v>44</v>
      </c>
      <c r="F29" s="8" t="s">
        <v>45</v>
      </c>
      <c r="G29" s="8" t="s">
        <v>46</v>
      </c>
      <c r="H29" s="8" t="s">
        <v>47</v>
      </c>
      <c r="I29" s="8" t="s">
        <v>48</v>
      </c>
      <c r="J29" s="8" t="s">
        <v>49</v>
      </c>
      <c r="K29" s="8" t="s">
        <v>50</v>
      </c>
      <c r="L29" s="11"/>
    </row>
    <row r="30" spans="2:19" x14ac:dyDescent="0.55000000000000004">
      <c r="C30" s="3" t="s">
        <v>83</v>
      </c>
      <c r="D30" s="42">
        <v>81000</v>
      </c>
      <c r="E30" s="39"/>
      <c r="F30" s="42">
        <v>130000</v>
      </c>
    </row>
    <row r="31" spans="2:19" x14ac:dyDescent="0.55000000000000004">
      <c r="C31" s="3" t="s">
        <v>89</v>
      </c>
      <c r="D31" s="40">
        <v>0.5</v>
      </c>
      <c r="E31" s="40">
        <v>0.5</v>
      </c>
      <c r="F31" s="40">
        <v>0.2</v>
      </c>
      <c r="G31" s="40">
        <v>0.15</v>
      </c>
      <c r="H31" s="40">
        <v>0.15</v>
      </c>
      <c r="I31" s="40">
        <v>0.15</v>
      </c>
      <c r="J31" s="40">
        <v>0.15</v>
      </c>
      <c r="K31" s="40">
        <v>0.2</v>
      </c>
    </row>
    <row r="32" spans="2:19" x14ac:dyDescent="0.55000000000000004">
      <c r="C32" s="3" t="s">
        <v>39</v>
      </c>
      <c r="D32" s="65">
        <f t="shared" ref="D32:K32" si="10">D25+D27</f>
        <v>19540</v>
      </c>
      <c r="E32" s="65">
        <f t="shared" si="10"/>
        <v>19540</v>
      </c>
      <c r="F32" s="65">
        <f t="shared" si="10"/>
        <v>39935</v>
      </c>
      <c r="G32" s="65">
        <f t="shared" si="10"/>
        <v>7535</v>
      </c>
      <c r="H32" s="65">
        <f t="shared" si="10"/>
        <v>7535</v>
      </c>
      <c r="I32" s="65">
        <f t="shared" si="10"/>
        <v>7535</v>
      </c>
      <c r="J32" s="65">
        <f t="shared" si="10"/>
        <v>7535</v>
      </c>
      <c r="K32" s="65">
        <f t="shared" si="10"/>
        <v>13445</v>
      </c>
      <c r="L32" s="66">
        <f>SUM(D32:K32)</f>
        <v>122600</v>
      </c>
    </row>
    <row r="33" spans="3:14" x14ac:dyDescent="0.55000000000000004">
      <c r="C33" s="3" t="s">
        <v>82</v>
      </c>
      <c r="D33" s="65">
        <f>$D$30*D31</f>
        <v>40500</v>
      </c>
      <c r="E33" s="65">
        <f>$D$30*E31</f>
        <v>40500</v>
      </c>
      <c r="F33" s="65">
        <f t="shared" ref="F33:K33" si="11">$F$30*F31</f>
        <v>26000</v>
      </c>
      <c r="G33" s="65">
        <f>$F$30*G31</f>
        <v>19500</v>
      </c>
      <c r="H33" s="65">
        <f>$F$30*H31</f>
        <v>19500</v>
      </c>
      <c r="I33" s="65">
        <f t="shared" si="11"/>
        <v>19500</v>
      </c>
      <c r="J33" s="65">
        <f t="shared" si="11"/>
        <v>19500</v>
      </c>
      <c r="K33" s="65">
        <f t="shared" si="11"/>
        <v>26000</v>
      </c>
      <c r="L33" s="66">
        <f>SUM(D33:K33)</f>
        <v>211000</v>
      </c>
    </row>
    <row r="34" spans="3:14" x14ac:dyDescent="0.55000000000000004">
      <c r="C34" s="3" t="s">
        <v>84</v>
      </c>
      <c r="D34" s="65">
        <f t="shared" ref="D34:K34" si="12">D33-D32</f>
        <v>20960</v>
      </c>
      <c r="E34" s="65">
        <f t="shared" si="12"/>
        <v>20960</v>
      </c>
      <c r="F34" s="65">
        <f t="shared" si="12"/>
        <v>-13935</v>
      </c>
      <c r="G34" s="65">
        <f>G33-G32</f>
        <v>11965</v>
      </c>
      <c r="H34" s="65">
        <f t="shared" si="12"/>
        <v>11965</v>
      </c>
      <c r="I34" s="65">
        <f t="shared" si="12"/>
        <v>11965</v>
      </c>
      <c r="J34" s="65">
        <f t="shared" si="12"/>
        <v>11965</v>
      </c>
      <c r="K34" s="65">
        <f t="shared" si="12"/>
        <v>12555</v>
      </c>
      <c r="L34" s="66">
        <f>SUM(D34:K34)</f>
        <v>88400</v>
      </c>
      <c r="N34" s="41"/>
    </row>
    <row r="35" spans="3:14" x14ac:dyDescent="0.55000000000000004">
      <c r="C35" s="3" t="s">
        <v>85</v>
      </c>
      <c r="D35" s="63">
        <f t="shared" ref="D35:K35" si="13">IF(D33=0,"",(D33-D32)/D33)</f>
        <v>0.51753086419753092</v>
      </c>
      <c r="E35" s="63">
        <f t="shared" si="13"/>
        <v>0.51753086419753092</v>
      </c>
      <c r="F35" s="63">
        <f t="shared" si="13"/>
        <v>-0.53596153846153849</v>
      </c>
      <c r="G35" s="63">
        <f>IF(G33=0,"",(G33-G32)/G33)</f>
        <v>0.61358974358974361</v>
      </c>
      <c r="H35" s="63">
        <f t="shared" si="13"/>
        <v>0.61358974358974361</v>
      </c>
      <c r="I35" s="63">
        <f t="shared" si="13"/>
        <v>0.61358974358974361</v>
      </c>
      <c r="J35" s="63">
        <f t="shared" si="13"/>
        <v>0.61358974358974361</v>
      </c>
      <c r="K35" s="63">
        <f t="shared" si="13"/>
        <v>0.48288461538461541</v>
      </c>
      <c r="L35" s="38"/>
    </row>
    <row r="36" spans="3:14" x14ac:dyDescent="0.55000000000000004">
      <c r="C36" s="3" t="s">
        <v>86</v>
      </c>
      <c r="D36" s="63">
        <f>IF(SUM($C$33:D33)=0,"",SUM($C$34:D34)/SUM($C$33:D33))</f>
        <v>0.51753086419753092</v>
      </c>
      <c r="E36" s="63">
        <f>IF(SUM($C$33:E33)=0,"",SUM($C$34:E34)/SUM($C$33:E33))</f>
        <v>0.51753086419753092</v>
      </c>
      <c r="F36" s="63">
        <f>IF(SUM($C$33:F33)=0,"",SUM($C$34:F34)/SUM($C$33:F33))</f>
        <v>0.26154205607476638</v>
      </c>
      <c r="G36" s="63">
        <f>IF(SUM($C$33:G33)=0,"",SUM($C$34:G34)/SUM($C$33:G33))</f>
        <v>0.31581027667984191</v>
      </c>
      <c r="H36" s="63">
        <f>IF(SUM($C$33:H33)=0,"",SUM($C$34:H34)/SUM($C$33:H33))</f>
        <v>0.3555821917808219</v>
      </c>
      <c r="I36" s="63">
        <f>IF(SUM($C$33:I33)=0,"",SUM($C$34:I34)/SUM($C$33:I33))</f>
        <v>0.3859818731117825</v>
      </c>
      <c r="J36" s="63">
        <f>IF(SUM($C$33:J33)=0,"",SUM($C$34:J34)/SUM($C$33:J33))</f>
        <v>0.40997297297297297</v>
      </c>
      <c r="K36" s="63">
        <f>IF(SUM($C$33:K33)=0,"",SUM($C$34:K34)/SUM($C$33:K33))</f>
        <v>0.41895734597156398</v>
      </c>
      <c r="L36" s="64">
        <f>L34/L33</f>
        <v>0.41895734597156398</v>
      </c>
    </row>
  </sheetData>
  <mergeCells count="2">
    <mergeCell ref="D2:E2"/>
    <mergeCell ref="F2:J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8E1E-650F-4410-833E-ADB34C0EA7DE}">
  <dimension ref="A2:J32"/>
  <sheetViews>
    <sheetView showGridLines="0" zoomScaleNormal="100" zoomScaleSheetLayoutView="100" workbookViewId="0">
      <selection activeCell="D4" sqref="D4"/>
    </sheetView>
  </sheetViews>
  <sheetFormatPr defaultColWidth="53.5546875" defaultRowHeight="15.6" x14ac:dyDescent="0.3"/>
  <cols>
    <col min="1" max="1" width="14.33203125" style="22" bestFit="1" customWidth="1"/>
    <col min="2" max="2" width="53.5546875" style="2"/>
    <col min="3" max="3" width="54.44140625" style="2" customWidth="1"/>
    <col min="4" max="4" width="22.6640625" style="2" bestFit="1" customWidth="1"/>
    <col min="5" max="5" width="27.5546875" style="2" bestFit="1" customWidth="1"/>
    <col min="6" max="6" width="26.109375" style="2" bestFit="1" customWidth="1"/>
    <col min="7" max="7" width="36.5546875" style="2" bestFit="1" customWidth="1"/>
    <col min="8" max="8" width="22.44140625" style="2" bestFit="1" customWidth="1"/>
    <col min="9" max="9" width="11.109375" style="2" customWidth="1"/>
    <col min="10" max="10" width="20" style="2" customWidth="1"/>
    <col min="11" max="16384" width="53.5546875" style="2"/>
  </cols>
  <sheetData>
    <row r="2" spans="1:10" ht="62.4" x14ac:dyDescent="0.3">
      <c r="A2" s="30"/>
      <c r="B2" s="30"/>
      <c r="C2" s="30"/>
      <c r="D2" s="27" t="s">
        <v>4</v>
      </c>
      <c r="E2" s="27" t="s">
        <v>11</v>
      </c>
      <c r="F2" s="27" t="s">
        <v>9</v>
      </c>
      <c r="G2" s="27" t="s">
        <v>10</v>
      </c>
      <c r="J2" s="37">
        <v>300</v>
      </c>
    </row>
    <row r="3" spans="1:10" s="22" customFormat="1" x14ac:dyDescent="0.3">
      <c r="A3" s="29" t="s">
        <v>0</v>
      </c>
      <c r="B3" s="29" t="s">
        <v>3</v>
      </c>
      <c r="C3" s="29" t="s">
        <v>96</v>
      </c>
      <c r="D3" s="26" t="s">
        <v>7</v>
      </c>
      <c r="E3" s="26" t="s">
        <v>5</v>
      </c>
      <c r="F3" s="26" t="s">
        <v>6</v>
      </c>
      <c r="G3" s="26" t="s">
        <v>8</v>
      </c>
      <c r="H3" s="26" t="s">
        <v>80</v>
      </c>
      <c r="I3" s="26" t="s">
        <v>79</v>
      </c>
      <c r="J3" s="26" t="s">
        <v>81</v>
      </c>
    </row>
    <row r="4" spans="1:10" ht="109.2" x14ac:dyDescent="0.3">
      <c r="A4" s="35">
        <v>1</v>
      </c>
      <c r="B4" s="24" t="s">
        <v>72</v>
      </c>
      <c r="C4" s="24" t="s">
        <v>90</v>
      </c>
      <c r="D4" s="28" t="s">
        <v>66</v>
      </c>
      <c r="E4" s="23">
        <v>3</v>
      </c>
      <c r="F4" s="23">
        <v>3</v>
      </c>
      <c r="G4" s="67">
        <f>E4*F4</f>
        <v>9</v>
      </c>
      <c r="H4" s="24">
        <v>5</v>
      </c>
      <c r="I4" s="36">
        <v>0.6</v>
      </c>
      <c r="J4" s="69">
        <f>H4*I4*$J$2</f>
        <v>900</v>
      </c>
    </row>
    <row r="5" spans="1:10" ht="62.4" x14ac:dyDescent="0.3">
      <c r="A5" s="35">
        <f>A4+1</f>
        <v>2</v>
      </c>
      <c r="B5" s="24" t="s">
        <v>73</v>
      </c>
      <c r="C5" s="24" t="s">
        <v>97</v>
      </c>
      <c r="D5" s="28" t="s">
        <v>67</v>
      </c>
      <c r="E5" s="23">
        <v>3</v>
      </c>
      <c r="F5" s="23">
        <v>3</v>
      </c>
      <c r="G5" s="67">
        <f t="shared" ref="G5:G9" si="0">E5*F5</f>
        <v>9</v>
      </c>
      <c r="H5" s="24">
        <v>2</v>
      </c>
      <c r="I5" s="36">
        <v>0.6</v>
      </c>
      <c r="J5" s="69">
        <f>H5*I5*$J$2</f>
        <v>360</v>
      </c>
    </row>
    <row r="6" spans="1:10" ht="62.4" x14ac:dyDescent="0.3">
      <c r="A6" s="35">
        <f t="shared" ref="A6:A10" si="1">A5+1</f>
        <v>3</v>
      </c>
      <c r="B6" s="24" t="s">
        <v>74</v>
      </c>
      <c r="C6" s="24" t="s">
        <v>91</v>
      </c>
      <c r="D6" s="28" t="s">
        <v>66</v>
      </c>
      <c r="E6" s="23">
        <v>5</v>
      </c>
      <c r="F6" s="23">
        <v>4</v>
      </c>
      <c r="G6" s="68">
        <f t="shared" si="0"/>
        <v>20</v>
      </c>
      <c r="H6" s="24">
        <v>10</v>
      </c>
      <c r="I6" s="36">
        <v>0.8</v>
      </c>
      <c r="J6" s="69">
        <f t="shared" ref="J6:J10" si="2">H6*I6*$J$2</f>
        <v>2400</v>
      </c>
    </row>
    <row r="7" spans="1:10" ht="93.6" x14ac:dyDescent="0.3">
      <c r="A7" s="35">
        <f t="shared" si="1"/>
        <v>4</v>
      </c>
      <c r="B7" s="24" t="s">
        <v>75</v>
      </c>
      <c r="C7" s="24" t="s">
        <v>92</v>
      </c>
      <c r="D7" s="28" t="s">
        <v>67</v>
      </c>
      <c r="E7" s="23">
        <v>4</v>
      </c>
      <c r="F7" s="23">
        <v>4</v>
      </c>
      <c r="G7" s="68">
        <f t="shared" si="0"/>
        <v>16</v>
      </c>
      <c r="H7" s="24">
        <v>5</v>
      </c>
      <c r="I7" s="36">
        <v>0.5</v>
      </c>
      <c r="J7" s="69">
        <f t="shared" si="2"/>
        <v>750</v>
      </c>
    </row>
    <row r="8" spans="1:10" ht="62.4" x14ac:dyDescent="0.3">
      <c r="A8" s="35">
        <f t="shared" si="1"/>
        <v>5</v>
      </c>
      <c r="B8" s="24" t="s">
        <v>76</v>
      </c>
      <c r="C8" s="24" t="s">
        <v>93</v>
      </c>
      <c r="D8" s="28" t="s">
        <v>67</v>
      </c>
      <c r="E8" s="23">
        <v>4</v>
      </c>
      <c r="F8" s="23">
        <v>4</v>
      </c>
      <c r="G8" s="68">
        <f>E8*F8</f>
        <v>16</v>
      </c>
      <c r="H8" s="24">
        <v>5</v>
      </c>
      <c r="I8" s="36">
        <v>0.5</v>
      </c>
      <c r="J8" s="69">
        <f t="shared" si="2"/>
        <v>750</v>
      </c>
    </row>
    <row r="9" spans="1:10" ht="62.4" x14ac:dyDescent="0.3">
      <c r="A9" s="35">
        <f t="shared" si="1"/>
        <v>6</v>
      </c>
      <c r="B9" s="24" t="s">
        <v>77</v>
      </c>
      <c r="C9" s="24" t="s">
        <v>94</v>
      </c>
      <c r="D9" s="28" t="s">
        <v>68</v>
      </c>
      <c r="E9" s="23">
        <v>4</v>
      </c>
      <c r="F9" s="23">
        <v>4</v>
      </c>
      <c r="G9" s="68">
        <f t="shared" si="0"/>
        <v>16</v>
      </c>
      <c r="H9" s="24">
        <v>10</v>
      </c>
      <c r="I9" s="36">
        <v>0.5</v>
      </c>
      <c r="J9" s="69">
        <f t="shared" si="2"/>
        <v>1500</v>
      </c>
    </row>
    <row r="10" spans="1:10" ht="62.4" x14ac:dyDescent="0.3">
      <c r="A10" s="35">
        <f t="shared" si="1"/>
        <v>7</v>
      </c>
      <c r="B10" s="24" t="s">
        <v>78</v>
      </c>
      <c r="C10" s="24" t="s">
        <v>95</v>
      </c>
      <c r="D10" s="28" t="s">
        <v>71</v>
      </c>
      <c r="E10" s="23">
        <v>3</v>
      </c>
      <c r="F10" s="23">
        <v>3</v>
      </c>
      <c r="G10" s="67">
        <f t="shared" ref="G10" si="3">E10*F10</f>
        <v>9</v>
      </c>
      <c r="H10" s="24">
        <v>5</v>
      </c>
      <c r="I10" s="36">
        <v>0.3</v>
      </c>
      <c r="J10" s="69">
        <f t="shared" si="2"/>
        <v>450</v>
      </c>
    </row>
    <row r="11" spans="1:10" x14ac:dyDescent="0.3">
      <c r="A11" s="23"/>
      <c r="B11" s="24"/>
      <c r="C11" s="24"/>
      <c r="D11" s="24"/>
      <c r="E11" s="24"/>
      <c r="F11" s="24"/>
      <c r="G11" s="24"/>
      <c r="H11" s="24"/>
      <c r="I11" s="24"/>
      <c r="J11" s="24"/>
    </row>
    <row r="12" spans="1:10" ht="16.2" thickBot="1" x14ac:dyDescent="0.35"/>
    <row r="13" spans="1:10" ht="16.2" thickBot="1" x14ac:dyDescent="0.35">
      <c r="H13" s="71">
        <f>J13/J2</f>
        <v>23.7</v>
      </c>
      <c r="J13" s="70">
        <f>SUM(J4:J10)</f>
        <v>7110</v>
      </c>
    </row>
    <row r="15" spans="1:10" x14ac:dyDescent="0.55000000000000004">
      <c r="A15" s="31" t="s">
        <v>7</v>
      </c>
      <c r="B15" s="31" t="s">
        <v>70</v>
      </c>
      <c r="C15" s="47"/>
      <c r="D15" s="3"/>
    </row>
    <row r="16" spans="1:10" x14ac:dyDescent="0.55000000000000004">
      <c r="A16" s="32" t="s">
        <v>68</v>
      </c>
      <c r="B16" s="33">
        <v>16</v>
      </c>
      <c r="C16" s="3"/>
      <c r="D16" s="3"/>
    </row>
    <row r="17" spans="1:4" x14ac:dyDescent="0.55000000000000004">
      <c r="A17" s="32" t="s">
        <v>66</v>
      </c>
      <c r="B17" s="33">
        <v>29</v>
      </c>
      <c r="C17" s="3"/>
      <c r="D17" s="3"/>
    </row>
    <row r="18" spans="1:4" x14ac:dyDescent="0.55000000000000004">
      <c r="A18" s="32" t="s">
        <v>71</v>
      </c>
      <c r="B18" s="33">
        <v>9</v>
      </c>
      <c r="C18" s="3"/>
      <c r="D18" s="3"/>
    </row>
    <row r="19" spans="1:4" x14ac:dyDescent="0.55000000000000004">
      <c r="A19" s="32" t="s">
        <v>67</v>
      </c>
      <c r="B19" s="33">
        <v>41</v>
      </c>
      <c r="C19" s="3"/>
      <c r="D19" s="3"/>
    </row>
    <row r="20" spans="1:4" x14ac:dyDescent="0.55000000000000004">
      <c r="A20" s="34" t="s">
        <v>69</v>
      </c>
      <c r="B20" s="31">
        <v>95</v>
      </c>
      <c r="C20" s="47"/>
      <c r="D20" s="3"/>
    </row>
    <row r="21" spans="1:4" ht="17.399999999999999" x14ac:dyDescent="0.55000000000000004">
      <c r="A21"/>
      <c r="B21"/>
      <c r="C21"/>
      <c r="D21" s="3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  <row r="29" spans="1:4" x14ac:dyDescent="0.3">
      <c r="A29"/>
      <c r="B29"/>
      <c r="C29"/>
      <c r="D29"/>
    </row>
    <row r="30" spans="1:4" x14ac:dyDescent="0.3">
      <c r="A30"/>
      <c r="B30"/>
      <c r="C30"/>
      <c r="D30"/>
    </row>
    <row r="31" spans="1:4" x14ac:dyDescent="0.3">
      <c r="A31"/>
      <c r="B31"/>
      <c r="C31"/>
      <c r="D31"/>
    </row>
    <row r="32" spans="1:4" x14ac:dyDescent="0.3">
      <c r="A32"/>
      <c r="B32"/>
      <c r="C32"/>
      <c r="D32"/>
    </row>
  </sheetData>
  <dataValidations count="2">
    <dataValidation type="list" allowBlank="1" showInputMessage="1" showErrorMessage="1" sqref="D4:D10" xr:uid="{54B4B1CD-EFE3-4530-8235-7C4E3B879D1D}">
      <formula1>"RR,TR,BR,QR"</formula1>
    </dataValidation>
    <dataValidation type="list" allowBlank="1" showInputMessage="1" showErrorMessage="1" sqref="E4:F10" xr:uid="{C8BB5ABE-A32C-4741-9923-233D6A0BD09A}">
      <formula1>"1,2,3,4,5"</formula1>
    </dataValidation>
  </dataValidation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3DA6-A2AB-4144-B4AB-9A681E6C01B9}">
  <dimension ref="A3:N17"/>
  <sheetViews>
    <sheetView workbookViewId="0">
      <selection activeCell="A10" sqref="A10"/>
    </sheetView>
  </sheetViews>
  <sheetFormatPr defaultRowHeight="14.4" x14ac:dyDescent="0.3"/>
  <cols>
    <col min="1" max="1" width="17.21875" bestFit="1" customWidth="1"/>
    <col min="2" max="2" width="14.33203125" bestFit="1" customWidth="1"/>
  </cols>
  <sheetData>
    <row r="3" spans="1:14" x14ac:dyDescent="0.3">
      <c r="A3" s="89" t="s">
        <v>343</v>
      </c>
      <c r="B3" t="s">
        <v>345</v>
      </c>
    </row>
    <row r="4" spans="1:14" x14ac:dyDescent="0.3">
      <c r="A4" s="90" t="s">
        <v>141</v>
      </c>
      <c r="B4">
        <v>15</v>
      </c>
    </row>
    <row r="5" spans="1:14" x14ac:dyDescent="0.3">
      <c r="A5" s="90" t="s">
        <v>136</v>
      </c>
      <c r="B5">
        <v>7</v>
      </c>
      <c r="M5">
        <f>84*2</f>
        <v>168</v>
      </c>
      <c r="N5">
        <f>M5/15</f>
        <v>11.2</v>
      </c>
    </row>
    <row r="6" spans="1:14" x14ac:dyDescent="0.3">
      <c r="A6" s="90" t="s">
        <v>176</v>
      </c>
      <c r="B6">
        <v>19</v>
      </c>
      <c r="M6">
        <v>13</v>
      </c>
      <c r="N6">
        <f>M6*N5</f>
        <v>145.6</v>
      </c>
    </row>
    <row r="7" spans="1:14" x14ac:dyDescent="0.3">
      <c r="A7" s="90" t="s">
        <v>147</v>
      </c>
      <c r="B7">
        <v>19</v>
      </c>
    </row>
    <row r="8" spans="1:14" x14ac:dyDescent="0.3">
      <c r="A8" s="90" t="s">
        <v>169</v>
      </c>
      <c r="B8">
        <v>22</v>
      </c>
    </row>
    <row r="9" spans="1:14" x14ac:dyDescent="0.3">
      <c r="A9" s="90" t="s">
        <v>114</v>
      </c>
      <c r="B9">
        <v>11</v>
      </c>
    </row>
    <row r="10" spans="1:14" x14ac:dyDescent="0.3">
      <c r="A10" s="90" t="s">
        <v>190</v>
      </c>
      <c r="B10">
        <v>13</v>
      </c>
    </row>
    <row r="11" spans="1:14" x14ac:dyDescent="0.3">
      <c r="A11" s="90" t="s">
        <v>161</v>
      </c>
      <c r="B11">
        <v>27</v>
      </c>
    </row>
    <row r="12" spans="1:14" x14ac:dyDescent="0.3">
      <c r="A12" s="90" t="s">
        <v>155</v>
      </c>
      <c r="B12">
        <v>13</v>
      </c>
    </row>
    <row r="13" spans="1:14" x14ac:dyDescent="0.3">
      <c r="A13" s="90" t="s">
        <v>183</v>
      </c>
      <c r="B13">
        <v>19</v>
      </c>
    </row>
    <row r="14" spans="1:14" x14ac:dyDescent="0.3">
      <c r="A14" s="90" t="s">
        <v>344</v>
      </c>
      <c r="B14">
        <v>165</v>
      </c>
      <c r="F14">
        <f>GETPIVOTDATA("Effort",$A$3)/20</f>
        <v>8.25</v>
      </c>
    </row>
    <row r="17" spans="1:1" x14ac:dyDescent="0.3">
      <c r="A17">
        <f>15/5</f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8581DE-F0F4-43B5-BD50-888C104887F9}">
  <ds:schemaRefs>
    <ds:schemaRef ds:uri="c99eb337-000b-4878-a4ff-8330c82a1935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7caceaca-20ef-42d2-b1d4-1dae242b6e79"/>
    <ds:schemaRef ds:uri="f222903d-8679-43da-9a9c-620ddc805fc2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53cd2e2-1c11-4b5c-bfac-90f4034b3f06"/>
  </ds:schemaRefs>
</ds:datastoreItem>
</file>

<file path=customXml/itemProps2.xml><?xml version="1.0" encoding="utf-8"?>
<ds:datastoreItem xmlns:ds="http://schemas.openxmlformats.org/officeDocument/2006/customXml" ds:itemID="{ED93DE5E-B43D-44C5-82BC-DA82507C0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555FA3-E7E9-43AE-822D-EA76DE9F35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01_Milestone_Deliverables</vt:lpstr>
      <vt:lpstr>02_Dependencies</vt:lpstr>
      <vt:lpstr>03_Project_Plan</vt:lpstr>
      <vt:lpstr>04_Forecast</vt:lpstr>
      <vt:lpstr>05_Risk_Assessment</vt:lpstr>
      <vt:lpstr>Totali per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Fanfoni</dc:creator>
  <cp:lastModifiedBy>Serena Benizzi</cp:lastModifiedBy>
  <dcterms:created xsi:type="dcterms:W3CDTF">2026-03-02T07:59:49Z</dcterms:created>
  <dcterms:modified xsi:type="dcterms:W3CDTF">2026-05-15T13:56:56Z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0x01010021F8C1811CFC2849BB075804AB038327</vt:lpwstr>
  </property>
</Properties>
</file>