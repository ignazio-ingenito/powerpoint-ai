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txtgroup.sharepoint.com/sites/Novigo-Sharepoint/FileServerNovigo/Organizzazione/TXT Novigo - CDG/Dati gestionali (PQ e report)/Review Processi CDG/"/>
    </mc:Choice>
  </mc:AlternateContent>
  <xr:revisionPtr revIDLastSave="106" documentId="8_{1FFCF279-3DAF-40CD-AF60-69AD7708EC35}" xr6:coauthVersionLast="47" xr6:coauthVersionMax="47" xr10:uidLastSave="{0698EA8A-41FE-48F0-B68A-A78BBFE3AC79}"/>
  <bookViews>
    <workbookView xWindow="-96" yWindow="0" windowWidth="11712" windowHeight="13776" activeTab="2" xr2:uid="{CCCEF7F6-4F96-445C-A02B-409B05DD9682}"/>
  </bookViews>
  <sheets>
    <sheet name="01_Milestone_Deliverables" sheetId="7" r:id="rId1"/>
    <sheet name="02_Dependencies" sheetId="14" r:id="rId2"/>
    <sheet name="03_Project_Plan" sheetId="21" r:id="rId3"/>
    <sheet name="04_Forecast" sheetId="22" r:id="rId4"/>
    <sheet name="05_Risk_Assessment" sheetId="6" r:id="rId5"/>
  </sheets>
  <definedNames>
    <definedName name="_xlnm._FilterDatabase" localSheetId="0" hidden="1">'01_Milestone_Deliverables'!$A$1:$C$1</definedName>
    <definedName name="_xlnm._FilterDatabase" localSheetId="2" hidden="1">'03_Project_Plan'!$B$1:$K$38</definedName>
    <definedName name="Actual">(PeriodInActual*(#REF!&gt;0))*PeriodInPlan</definedName>
    <definedName name="ActualBeyond">PeriodInActual*(#REF!&gt;0)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lan">PeriodInPlan*(#REF!&gt;0)</definedName>
  </definedNames>
  <calcPr calcId="191029"/>
  <pivotCaches>
    <pivotCache cacheId="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1" l="1"/>
  <c r="D9" i="22" l="1"/>
  <c r="K6" i="21"/>
  <c r="J4" i="6"/>
  <c r="H13" i="6"/>
  <c r="D33" i="22"/>
  <c r="D21" i="22"/>
  <c r="D12" i="22"/>
  <c r="K3" i="21"/>
  <c r="J3" i="21"/>
  <c r="A4" i="21"/>
  <c r="F24" i="22"/>
  <c r="G24" i="22"/>
  <c r="E24" i="22"/>
  <c r="K24" i="22"/>
  <c r="K23" i="22"/>
  <c r="K22" i="22"/>
  <c r="E23" i="22"/>
  <c r="H33" i="22"/>
  <c r="G33" i="22"/>
  <c r="D18" i="22"/>
  <c r="K33" i="22"/>
  <c r="J33" i="22"/>
  <c r="I33" i="22"/>
  <c r="F33" i="22"/>
  <c r="E33" i="22"/>
  <c r="L33" i="22" l="1"/>
  <c r="J6" i="6" l="1"/>
  <c r="J7" i="6"/>
  <c r="J8" i="6"/>
  <c r="J9" i="6"/>
  <c r="J10" i="6"/>
  <c r="J5" i="6"/>
  <c r="J13" i="6"/>
  <c r="J27" i="22" l="1"/>
  <c r="K27" i="22"/>
  <c r="D27" i="22"/>
  <c r="E27" i="22"/>
  <c r="I27" i="22"/>
  <c r="H27" i="22"/>
  <c r="F27" i="22"/>
  <c r="G27" i="22"/>
  <c r="A5" i="6"/>
  <c r="A6" i="6" s="1"/>
  <c r="A7" i="6" s="1"/>
  <c r="A8" i="6" s="1"/>
  <c r="A9" i="6" s="1"/>
  <c r="A10" i="6" s="1"/>
  <c r="G10" i="6"/>
  <c r="L27" i="22" l="1"/>
  <c r="G8" i="6"/>
  <c r="G9" i="6"/>
  <c r="G5" i="6"/>
  <c r="G6" i="6"/>
  <c r="G7" i="6"/>
  <c r="G4" i="6"/>
  <c r="J24" i="22" l="1"/>
  <c r="I24" i="22"/>
  <c r="H24" i="22"/>
  <c r="E21" i="22"/>
  <c r="D24" i="22"/>
  <c r="N15" i="22"/>
  <c r="N14" i="22"/>
  <c r="N13" i="22"/>
  <c r="N12" i="22"/>
  <c r="K14" i="22"/>
  <c r="J14" i="22"/>
  <c r="J23" i="22" s="1"/>
  <c r="I14" i="22"/>
  <c r="I23" i="22" s="1"/>
  <c r="H14" i="22"/>
  <c r="H23" i="22" s="1"/>
  <c r="G14" i="22"/>
  <c r="G23" i="22" s="1"/>
  <c r="F14" i="22"/>
  <c r="F23" i="22" s="1"/>
  <c r="E14" i="22"/>
  <c r="D14" i="22"/>
  <c r="D23" i="22" s="1"/>
  <c r="K13" i="22"/>
  <c r="J13" i="22"/>
  <c r="J22" i="22" s="1"/>
  <c r="I13" i="22"/>
  <c r="I22" i="22" s="1"/>
  <c r="H13" i="22"/>
  <c r="H22" i="22" s="1"/>
  <c r="G13" i="22"/>
  <c r="G22" i="22" s="1"/>
  <c r="F13" i="22"/>
  <c r="F22" i="22" s="1"/>
  <c r="E13" i="22"/>
  <c r="E22" i="22" s="1"/>
  <c r="D13" i="22"/>
  <c r="D22" i="22" s="1"/>
  <c r="K12" i="22"/>
  <c r="K21" i="22" s="1"/>
  <c r="J12" i="22"/>
  <c r="J21" i="22" s="1"/>
  <c r="I12" i="22"/>
  <c r="I21" i="22" s="1"/>
  <c r="H12" i="22"/>
  <c r="H21" i="22" s="1"/>
  <c r="G12" i="22"/>
  <c r="G21" i="22" s="1"/>
  <c r="F12" i="22"/>
  <c r="F21" i="22" s="1"/>
  <c r="E12" i="22"/>
  <c r="K9" i="22"/>
  <c r="J9" i="22"/>
  <c r="I9" i="22"/>
  <c r="H9" i="22"/>
  <c r="G9" i="22"/>
  <c r="F9" i="22"/>
  <c r="E9" i="22"/>
  <c r="L8" i="22"/>
  <c r="L7" i="22"/>
  <c r="L6" i="22"/>
  <c r="L5" i="22"/>
  <c r="D25" i="22" l="1"/>
  <c r="D32" i="22"/>
  <c r="D35" i="22" s="1"/>
  <c r="I25" i="22"/>
  <c r="I32" i="22" s="1"/>
  <c r="H25" i="22"/>
  <c r="H32" i="22" s="1"/>
  <c r="K25" i="22"/>
  <c r="K32" i="22" s="1"/>
  <c r="K35" i="22" s="1"/>
  <c r="G25" i="22"/>
  <c r="G32" i="22" s="1"/>
  <c r="J25" i="22"/>
  <c r="J32" i="22" s="1"/>
  <c r="F25" i="22"/>
  <c r="F32" i="22" s="1"/>
  <c r="E25" i="22"/>
  <c r="E32" i="22" s="1"/>
  <c r="E35" i="22" s="1"/>
  <c r="D16" i="22"/>
  <c r="L14" i="22"/>
  <c r="P14" i="22" s="1"/>
  <c r="L15" i="22"/>
  <c r="Q15" i="22" s="1"/>
  <c r="R15" i="22" s="1"/>
  <c r="S15" i="22" s="1"/>
  <c r="L12" i="22"/>
  <c r="P12" i="22" s="1"/>
  <c r="I16" i="22"/>
  <c r="I18" i="22" s="1"/>
  <c r="H16" i="22"/>
  <c r="H18" i="22" s="1"/>
  <c r="J16" i="22"/>
  <c r="J18" i="22" s="1"/>
  <c r="K16" i="22"/>
  <c r="K18" i="22" s="1"/>
  <c r="L13" i="22"/>
  <c r="Q13" i="22" s="1"/>
  <c r="R13" i="22" s="1"/>
  <c r="S13" i="22" s="1"/>
  <c r="F16" i="22"/>
  <c r="F18" i="22" s="1"/>
  <c r="E16" i="22"/>
  <c r="E18" i="22" s="1"/>
  <c r="G16" i="22"/>
  <c r="G18" i="22" s="1"/>
  <c r="G35" i="22" l="1"/>
  <c r="G34" i="22"/>
  <c r="L32" i="22"/>
  <c r="J34" i="22"/>
  <c r="J35" i="22"/>
  <c r="K34" i="22"/>
  <c r="F34" i="22"/>
  <c r="F35" i="22"/>
  <c r="I34" i="22"/>
  <c r="I35" i="22"/>
  <c r="E34" i="22"/>
  <c r="H35" i="22"/>
  <c r="H34" i="22"/>
  <c r="D34" i="22"/>
  <c r="L25" i="22"/>
  <c r="P15" i="22"/>
  <c r="Q14" i="22"/>
  <c r="R14" i="22" s="1"/>
  <c r="S14" i="22" s="1"/>
  <c r="P13" i="22"/>
  <c r="Q12" i="22"/>
  <c r="L16" i="22"/>
  <c r="P16" i="22"/>
  <c r="K36" i="22" l="1"/>
  <c r="G36" i="22"/>
  <c r="F36" i="22"/>
  <c r="E36" i="22"/>
  <c r="L34" i="22"/>
  <c r="L36" i="22" s="1"/>
  <c r="H36" i="22"/>
  <c r="J36" i="22"/>
  <c r="I36" i="22"/>
  <c r="D36" i="22"/>
  <c r="Q16" i="22"/>
  <c r="R12" i="22"/>
  <c r="R16" i="22" l="1"/>
  <c r="S12" i="22"/>
  <c r="S16" i="22" s="1"/>
  <c r="S18" i="22" l="1"/>
  <c r="A5" i="21"/>
  <c r="A6" i="21" s="1"/>
  <c r="A7" i="21" s="1"/>
  <c r="A8" i="21" s="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K35" i="21"/>
  <c r="J35" i="21"/>
  <c r="J33" i="21"/>
  <c r="J34" i="21"/>
  <c r="J36" i="21"/>
  <c r="J37" i="21"/>
  <c r="J15" i="21"/>
  <c r="J16" i="21"/>
  <c r="J17" i="21"/>
  <c r="J18" i="21"/>
  <c r="J19" i="21"/>
  <c r="J20" i="21"/>
  <c r="J21" i="21"/>
  <c r="J22" i="21"/>
  <c r="J23" i="21"/>
  <c r="J24" i="21"/>
  <c r="J25" i="21"/>
  <c r="J26" i="21"/>
  <c r="J27" i="21"/>
  <c r="J28" i="21"/>
  <c r="K15" i="21"/>
  <c r="K16" i="21"/>
  <c r="K17" i="21"/>
  <c r="K18" i="21"/>
  <c r="K19" i="21"/>
  <c r="K20" i="21"/>
  <c r="K21" i="21"/>
  <c r="K22" i="21"/>
  <c r="K23" i="21"/>
  <c r="K24" i="21"/>
  <c r="K25" i="21"/>
  <c r="K26" i="21"/>
  <c r="K27" i="21"/>
  <c r="K28" i="21"/>
  <c r="K37" i="21"/>
  <c r="K36" i="21"/>
  <c r="K34" i="21"/>
  <c r="K33" i="21"/>
  <c r="J32" i="21"/>
  <c r="J31" i="21"/>
  <c r="J30" i="21"/>
  <c r="J29" i="21"/>
  <c r="J14" i="21"/>
  <c r="J13" i="21"/>
  <c r="J12" i="21"/>
  <c r="J11" i="21"/>
  <c r="J10" i="21"/>
  <c r="J9" i="21"/>
  <c r="J8" i="21"/>
  <c r="J7" i="21"/>
  <c r="J6" i="21"/>
  <c r="J5" i="21"/>
  <c r="J4" i="21"/>
  <c r="K32" i="21"/>
  <c r="K31" i="21"/>
  <c r="K30" i="21"/>
  <c r="K29" i="21"/>
  <c r="K14" i="21"/>
  <c r="K13" i="21"/>
  <c r="K12" i="21"/>
  <c r="K11" i="21"/>
  <c r="K10" i="21"/>
  <c r="K9" i="21"/>
  <c r="K8" i="21"/>
  <c r="K7" i="21"/>
  <c r="K5" i="21"/>
  <c r="K4" i="21"/>
  <c r="K38" i="2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tc={CBBAFE7F-89D6-4450-99C9-08EB4917069D}</author>
  </authors>
  <commentList>
    <comment ref="F24" authorId="0" shapeId="0" xr:uid="{CBBAFE7F-89D6-4450-99C9-08EB4917069D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+30.000 licenze</t>
      </text>
    </comment>
  </commentList>
</comments>
</file>

<file path=xl/sharedStrings.xml><?xml version="1.0" encoding="utf-8"?>
<sst xmlns="http://schemas.openxmlformats.org/spreadsheetml/2006/main" count="248" uniqueCount="120">
  <si>
    <t>No.</t>
  </si>
  <si>
    <t>Description</t>
  </si>
  <si>
    <t>Owner</t>
  </si>
  <si>
    <t>Description of Risk</t>
  </si>
  <si>
    <t>RR: resource risk
TR: time risk
BR: business / financial risk
QR: quality risk</t>
  </si>
  <si>
    <t>Impact</t>
  </si>
  <si>
    <t>Probability</t>
  </si>
  <si>
    <t>Risk Category</t>
  </si>
  <si>
    <t>Overall Risk Value</t>
  </si>
  <si>
    <t>How likely is the risk to occour?
1= low
5=high</t>
  </si>
  <si>
    <t>impact x probability
Attention on risks with value of 16 and above</t>
  </si>
  <si>
    <t>How big is the impact of the risk?
1= low
5=high</t>
  </si>
  <si>
    <t>Status</t>
  </si>
  <si>
    <t>Open</t>
  </si>
  <si>
    <t>Closed</t>
  </si>
  <si>
    <t>ING</t>
  </si>
  <si>
    <t>Due Date</t>
  </si>
  <si>
    <t>Release 1</t>
  </si>
  <si>
    <t>Release 2</t>
  </si>
  <si>
    <t>Release 3</t>
  </si>
  <si>
    <t>Release</t>
  </si>
  <si>
    <t>ID</t>
  </si>
  <si>
    <t>Duration</t>
  </si>
  <si>
    <t>Completion %</t>
  </si>
  <si>
    <t>Effort</t>
  </si>
  <si>
    <t>Credenziali accesso casella PEC su cui vengono ricevuti i pignoramenti</t>
  </si>
  <si>
    <t>Fornitura utenze ING e ruoli che dovranno accedere alla suite pignoramenti (soll matrix applicativa)</t>
  </si>
  <si>
    <t>Compilazione del tracciato condiviso con i dati delle pratiche e i dati del pregresso da migrare</t>
  </si>
  <si>
    <t>Area</t>
  </si>
  <si>
    <t>Actual</t>
  </si>
  <si>
    <t>MBB</t>
  </si>
  <si>
    <t>#</t>
  </si>
  <si>
    <t>Attività</t>
  </si>
  <si>
    <t>TXT Novigo</t>
  </si>
  <si>
    <t>Start Date</t>
  </si>
  <si>
    <t>End Date</t>
  </si>
  <si>
    <t>AVG Loading</t>
  </si>
  <si>
    <t>Role</t>
  </si>
  <si>
    <t>TL</t>
  </si>
  <si>
    <t>BA</t>
  </si>
  <si>
    <t>DEV</t>
  </si>
  <si>
    <t>Total</t>
  </si>
  <si>
    <t>LC/HR</t>
  </si>
  <si>
    <t>LC /Day</t>
  </si>
  <si>
    <t>Costs</t>
  </si>
  <si>
    <t>hr</t>
  </si>
  <si>
    <t>AVG FTE</t>
  </si>
  <si>
    <t>Average Cost Rate (daily)</t>
  </si>
  <si>
    <t>Mar</t>
  </si>
  <si>
    <t>Apr</t>
  </si>
  <si>
    <t>Mag</t>
  </si>
  <si>
    <t>Giu</t>
  </si>
  <si>
    <t>Lug</t>
  </si>
  <si>
    <t>Ago</t>
  </si>
  <si>
    <t>Set</t>
  </si>
  <si>
    <t>Ott</t>
  </si>
  <si>
    <t>PM</t>
  </si>
  <si>
    <t>NET Day</t>
  </si>
  <si>
    <t>Pure Cost</t>
  </si>
  <si>
    <t>D1</t>
  </si>
  <si>
    <t>D2</t>
  </si>
  <si>
    <t>Creazione caselle email di test e fornitura credenziali</t>
  </si>
  <si>
    <t>D3</t>
  </si>
  <si>
    <t>D4</t>
  </si>
  <si>
    <t>Fornitura documentazione API + Swagger ING per accesso a sistemi ING Anagrafica Clienti, Rapporti, Saldi, Blocchi, Transitori</t>
  </si>
  <si>
    <t>D5</t>
  </si>
  <si>
    <t>Fornitura Swagger ING Garante 2 + Pagamenti</t>
  </si>
  <si>
    <t>D6</t>
  </si>
  <si>
    <t>Disponibilità ambiente test alle API per Anagrafica Clienti, Rapporti, Saldi, Blocchi, Transitori, Garante 2, Pagamenti</t>
  </si>
  <si>
    <t>D7</t>
  </si>
  <si>
    <t>Specifiche Accesso SSO</t>
  </si>
  <si>
    <t>D8</t>
  </si>
  <si>
    <t>Disponibilità ambiente produzione alle API per Anagrafica Clienti, Rapporti, Saldi, Blocchi, Transitori, Garante 2, Pagamenti</t>
  </si>
  <si>
    <t>D9</t>
  </si>
  <si>
    <t>Activity</t>
  </si>
  <si>
    <t>Due Date (old)</t>
  </si>
  <si>
    <t>Due Date (new)</t>
  </si>
  <si>
    <t>N/A</t>
  </si>
  <si>
    <t>Attivazione Suite Pignoramenti configurato per collaboratori ING 
Attivazione Suite Pignoramenti ambiente e-learning con atti fittizi dove i collaboratori dell’ufficio Authority Investigations &amp; Relations potranno verificare e imparare le funzionalità complessive della suite pignoramenti
Tool AI per estrazione dei dati dagli atti
Produzione flussi per alimentazione Workflow ING con i dati estratti dalle pratiche ricevute
Funzioni per smistamento PEC e interfacce per monitoraggio smistamenti</t>
  </si>
  <si>
    <t>Integrazione della suite pignoramenti con Anagrafe ING per verifica del pignorato se cliente ING ed eventuale saldo su CA e CCA e Accesso in SSO. Il sistema permetterà di gestire il processo E2E dalla ricezione della PEC contenente l’atto di pignoramento alla risposta all’ente per tutte le pratiche negative (non clienti ING):
Workflow pignoramenti Da enti negativi
Workflow pignoramenti Stragiudiziali negativi
Workflow pignoramenti Da tribunali negative
Integrazione della suite pignoramenti con sottosistemi ING in lettura per verifica rapporti e movimenti. Il sistema permetterà di gestire il processo E2E dalla ricezione della PEC contenente l’atto di pignoramento alla risposta all’ente per tutte le pratiche positive e positive conti chiusi (clienti ING):
Workflow pignoramenti Da enti positivi e positivi conti chiusi 
Workflow pignoramenti Stragiudiziali positivi e positivi conti chiusi
Workflow pignoramenti Da tribunali positive e positive conti Chiusi
Workflow eventi successive
Integrazione della suite pignoramenti con sottosistemi ING in scrittura per blocco/sblocco rapporti:
Generazione distinta liquidazione pignoramento
Integrazione Garante 2 tramite l’attivazione delle funzionalità della piattaforma Suite Pignoramenti finalizzata al tracciamento (logging) degli accessi ai dati sensibili effettuati dagli utenti Back Office ING prevedendo l’instradamento e la gestione dei log attraverso la piattaforma dedicata alla compliance.</t>
  </si>
  <si>
    <t>QR</t>
  </si>
  <si>
    <t>TR</t>
  </si>
  <si>
    <t>BR</t>
  </si>
  <si>
    <t>Grand Total</t>
  </si>
  <si>
    <t>Sum of Overall Risk Value</t>
  </si>
  <si>
    <t>RR</t>
  </si>
  <si>
    <r>
      <rPr>
        <b/>
        <sz val="8"/>
        <color theme="1"/>
        <rFont val="Poppins"/>
      </rPr>
      <t>Non completezza degli Swagger</t>
    </r>
    <r>
      <rPr>
        <sz val="8"/>
        <color theme="1"/>
        <rFont val="Poppins"/>
      </rPr>
      <t xml:space="preserve">
La documentazione Swagger risulta incompleta o non aggiornata, con conseguente rischio di ambiguità interpretative sulle API e possibili rallentamenti nelle attività di sviluppo e integrazione.</t>
    </r>
  </si>
  <si>
    <r>
      <rPr>
        <b/>
        <sz val="8"/>
        <color theme="1"/>
        <rFont val="Poppins"/>
      </rPr>
      <t>API di test non disponibili entro la data del 17/07</t>
    </r>
    <r>
      <rPr>
        <sz val="8"/>
        <color theme="1"/>
        <rFont val="Poppins"/>
      </rPr>
      <t xml:space="preserve">
La mancata disponibilità delle API nell’ambiente di test entro la data prevista potrebbe compromettere la pianificazione delle attività di verifica, generando ritardi a cascata sulle fasi successive.</t>
    </r>
  </si>
  <si>
    <r>
      <rPr>
        <b/>
        <sz val="8"/>
        <color theme="1"/>
        <rFont val="Poppins"/>
      </rPr>
      <t>API non funzionanti e necessità di rework da parte di ING</t>
    </r>
    <r>
      <rPr>
        <sz val="8"/>
        <color theme="1"/>
        <rFont val="Poppins"/>
      </rPr>
      <t xml:space="preserve">
Il malfunzionamento delle API fornite comporta la necessità di interventi correttivi da parte di ING, con impatti su tempi, qualità complessiva della soluzione e possibile aumento delle attività di coordinamento</t>
    </r>
  </si>
  <si>
    <r>
      <rPr>
        <b/>
        <sz val="8"/>
        <color theme="1"/>
        <rFont val="Poppins"/>
      </rPr>
      <t>Maggiore effort per l’esecuzione dei SIT rispetto al pianificato</t>
    </r>
    <r>
      <rPr>
        <sz val="8"/>
        <color theme="1"/>
        <rFont val="Poppins"/>
      </rPr>
      <t xml:space="preserve">
L’esecuzione dei System Integration Test potrebbe richiedere uno sforzo superiore alle stime iniziali, a causa di complessità tecniche o dipendenze non previste, con conseguente slittamento delle tempistiche.</t>
    </r>
  </si>
  <si>
    <r>
      <rPr>
        <b/>
        <sz val="8"/>
        <color theme="1"/>
        <rFont val="Poppins"/>
      </rPr>
      <t>Maggiore effort per l’esecuzione degli UAT rispetto al pianificato</t>
    </r>
    <r>
      <rPr>
        <sz val="8"/>
        <color theme="1"/>
        <rFont val="Poppins"/>
      </rPr>
      <t xml:space="preserve">
Le attività di User Acceptance Test potrebbero risultare più onerose del previsto, per via di un numero maggiore di casi da validare o iterazioni aggiuntive, impattando la data di go-live.</t>
    </r>
  </si>
  <si>
    <r>
      <rPr>
        <b/>
        <sz val="8"/>
        <color theme="1"/>
        <rFont val="Poppins"/>
      </rPr>
      <t>Necessità di maggiore effort per l’analisi di dettaglio</t>
    </r>
    <r>
      <rPr>
        <sz val="8"/>
        <color theme="1"/>
        <rFont val="Poppins"/>
      </rPr>
      <t xml:space="preserve">
La fase di analisi potrebbe richiedere un approfondimento superiore alle attese per chiarire requisiti incompleti o evolutivi, con impatti su tempi e allocazione delle risorse progettuali.</t>
    </r>
  </si>
  <si>
    <r>
      <rPr>
        <b/>
        <sz val="8"/>
        <color theme="1"/>
        <rFont val="Poppins"/>
      </rPr>
      <t>Necessità di maggiori risorse per il supporto</t>
    </r>
    <r>
      <rPr>
        <sz val="8"/>
        <color theme="1"/>
        <rFont val="Poppins"/>
      </rPr>
      <t xml:space="preserve">
Il livello di supporto richiesto potrebbe eccedere quanto pianificato, rendendo necessaria l’allocazione di risorse aggiuntive per garantire continuità operativa e qualità del servizio</t>
    </r>
  </si>
  <si>
    <t>Probabilty</t>
  </si>
  <si>
    <t>Impact (days extra-effort)</t>
  </si>
  <si>
    <t>Contigency</t>
  </si>
  <si>
    <r>
      <t xml:space="preserve">Pagamenti: attivazione di un nuovo flusso dati verso i sistemi ING come step finale del workflow applicativo, con gestione di invio e tracciamento esiti 
</t>
    </r>
    <r>
      <rPr>
        <sz val="8"/>
        <color rgb="FFC00000"/>
        <rFont val="Poppins"/>
      </rPr>
      <t>Quota pignorabile: necessità di personalizzare a livello di piattaforma le informazioni relative e le logiche adottate per il calcolo della quota pignorabile</t>
    </r>
    <r>
      <rPr>
        <sz val="8"/>
        <color theme="1"/>
        <rFont val="Poppins"/>
      </rPr>
      <t xml:space="preserve">
Migrazione storico da Workflow ING a Suite Pignoramenti</t>
    </r>
  </si>
  <si>
    <t>REV</t>
  </si>
  <si>
    <t>Contract Value</t>
  </si>
  <si>
    <t>Margin (€)</t>
  </si>
  <si>
    <t>Margin (%)</t>
  </si>
  <si>
    <t>CCI% YTD</t>
  </si>
  <si>
    <t>Contigency (€)</t>
  </si>
  <si>
    <t>Contigency (%)</t>
  </si>
  <si>
    <t>EV %</t>
  </si>
  <si>
    <t>1)Introdurre una review formale e periodica della documentazione API (es. weekly checkpoint).
2) Definire uno standard minimo obbligatorio per gli Swagger (campi, esempi, codici errore).
3) Coinvolgere i team di sviluppo in sessioni di chiarimento anticipate (API walkthrough).
4) Utilizzare strumenti di validazione automatica degli Swagger (linting).</t>
  </si>
  <si>
    <t>1)Rilascio progressivo delle API previste per anticipare la fase di test (early integration test).
2) Attivare un canale diretto di supporto tecnico
3) Documentare e tracciare i difetti con prioritizzazione condivisa.</t>
  </si>
  <si>
    <t>1) Effettuare una revisione dettagliata delle dipendenze tecniche prima dell’avvio.
2) Suddividere i test in blocchi incrementali (test per integrazione progressiva).
3) Rafforzare il team durante i SIT con risorse aggiuntive o competenze specialistiche (MBB)</t>
  </si>
  <si>
    <t>1) Definire casi di test prioritari (risk-based testing).
2) Coinvolgere gli utenti business in fasi preliminari di validazione.
3) Preparare ambienti e dati di test realistici in anticipo.
4) Pianificare slot dedicati e vincolanti per gli utenti UAT.</t>
  </si>
  <si>
    <t>1) Organizzare workshop di approfondimento funzionale con stakeholder chiave.
2) Formalizzare i requisiti tramite condivisione e validazione
2) Applicare un approccio iterativo (es. refinement continuo).</t>
  </si>
  <si>
    <t>1) Creare una knowledge base all'interno del materiale di formazione per ridurre richieste ripetitive.
2) Pianificare capacity buffer o risorse on-demand.</t>
  </si>
  <si>
    <t>Mitigation Actions</t>
  </si>
  <si>
    <t>1) Richiedere mock API
2) Prevedere buffer temporali nel piano di test.
3) Monitorare lo stato con daily tracking e escalation rapida in caso di ritardi.</t>
  </si>
  <si>
    <t>Assessment dell'as is</t>
  </si>
  <si>
    <t>Assessment input</t>
  </si>
  <si>
    <t>Assessment normalizzazione arricchimento</t>
  </si>
  <si>
    <t>Assessment dashboard</t>
  </si>
  <si>
    <t>Fase implementativa input grezzi</t>
  </si>
  <si>
    <t xml:space="preserve">Analisi </t>
  </si>
  <si>
    <t>Assessment preliminare (infrastruttura e strumenti)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</si>
</sst>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164" formatCode="_-* #,##0.00\ &quot;€&quot;_-;\-* #,##0.00\ &quot;€&quot;_-;_-* &quot;-&quot;??\ &quot;€&quot;_-;_-@_-"/>
    <numFmt numFmtId="165" formatCode="_-* #,##0.00_-;\-* #,##0.00_-;_-* &quot;-&quot;??_-;_-@_-"/>
    <numFmt numFmtId="166" formatCode="_-* #,##0\ &quot;€&quot;_-;\-* #,##0\ &quot;€&quot;_-;_-* &quot;-&quot;??\ &quot;€&quot;_-;_-@_-"/>
    <numFmt numFmtId="167" formatCode="_-* #,##0_-;\-* #,##0_-;_-* &quot;-&quot;??_-;_-@_-"/>
    <numFmt numFmtId="168" formatCode="#,##0_ ;\-#,##0\ "/>
    <numFmt numFmtId="169" formatCode="0.0"/>
    <numFmt numFmtId="170" formatCode="_-* #,##0\ [$€-410]_-;\-* #,##0\ [$€-410]_-;_-* &quot;-&quot;\ [$€-410]_-;_-@_-"/>
    <numFmt numFmtId="171" formatCode="_-* #,##0.00\ [$€-410]_-;\-* #,##0.00\ [$€-410]_-;_-* &quot;-&quot;??\ [$€-410]_-;_-@_-"/>
  </numFmts>
  <fonts count="18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1" tint="0.24994659260841701"/>
      <name val="Aptos Display"/>
      <family val="2"/>
      <scheme val="major"/>
    </font>
    <font>
      <b/>
      <sz val="11"/>
      <color theme="1" tint="0.24994659260841701"/>
      <name val="Aptos Narrow"/>
      <family val="2"/>
      <scheme val="minor"/>
    </font>
    <font>
      <sz val="14"/>
      <color theme="1" tint="0.24994659260841701"/>
      <name val="Aptos Narrow"/>
      <family val="2"/>
      <scheme val="minor"/>
    </font>
    <font>
      <b/>
      <sz val="9.5"/>
      <color theme="1" tint="0.499984740745262"/>
      <name val="Aptos Narrow"/>
      <family val="2"/>
      <scheme val="minor"/>
    </font>
    <font>
      <b/>
      <sz val="8"/>
      <color theme="0"/>
      <name val="Poppins"/>
    </font>
    <font>
      <sz val="8"/>
      <color theme="1"/>
      <name val="Poppins"/>
    </font>
    <font>
      <b/>
      <sz val="8"/>
      <color theme="1"/>
      <name val="Poppins"/>
    </font>
    <font>
      <b/>
      <sz val="11"/>
      <color theme="3"/>
      <name val="Aptos Narrow"/>
      <family val="2"/>
      <scheme val="minor"/>
    </font>
    <font>
      <sz val="8"/>
      <color theme="0"/>
      <name val="Poppins"/>
    </font>
    <font>
      <sz val="11"/>
      <color theme="1"/>
      <name val="Aptos Narrow"/>
      <family val="2"/>
      <charset val="238"/>
      <scheme val="minor"/>
    </font>
    <font>
      <sz val="8"/>
      <name val="Poppins"/>
    </font>
    <font>
      <b/>
      <sz val="8"/>
      <name val="Poppins"/>
    </font>
    <font>
      <i/>
      <sz val="8"/>
      <color theme="1"/>
      <name val="Poppins"/>
    </font>
    <font>
      <b/>
      <sz val="8"/>
      <color theme="9"/>
      <name val="Poppins"/>
    </font>
    <font>
      <sz val="8"/>
      <color rgb="FFC00000"/>
      <name val="Poppins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1"/>
        <bgColor theme="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4">
    <xf numFmtId="0" fontId="0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3" fillId="0" borderId="0" applyFill="0" applyBorder="0" applyProtection="0">
      <alignment horizontal="left"/>
    </xf>
    <xf numFmtId="0" fontId="4" fillId="5" borderId="2" applyNumberFormat="0" applyProtection="0">
      <alignment horizontal="left" vertical="center"/>
    </xf>
    <xf numFmtId="0" fontId="5" fillId="0" borderId="0" applyNumberFormat="0" applyFill="0" applyBorder="0" applyProtection="0">
      <alignment horizontal="left" vertical="center"/>
    </xf>
    <xf numFmtId="0" fontId="6" fillId="0" borderId="0" applyFill="0" applyBorder="0" applyProtection="0">
      <alignment horizontal="center"/>
    </xf>
    <xf numFmtId="3" fontId="6" fillId="0" borderId="3" applyFill="0" applyProtection="0">
      <alignment horizontal="center"/>
    </xf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0" fillId="0" borderId="4" applyNumberFormat="0" applyFill="0" applyAlignment="0" applyProtection="0"/>
    <xf numFmtId="0" fontId="2" fillId="0" borderId="0"/>
    <xf numFmtId="44" fontId="12" fillId="0" borderId="0" applyFont="0" applyFill="0" applyBorder="0" applyAlignment="0" applyProtection="0"/>
  </cellStyleXfs>
  <cellXfs count="97">
    <xf numFmtId="0" fontId="0" fillId="0" borderId="0" xfId="0"/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0" xfId="0" applyFont="1"/>
    <xf numFmtId="0" fontId="7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9" fontId="9" fillId="0" borderId="0" xfId="1" applyFont="1"/>
    <xf numFmtId="0" fontId="9" fillId="0" borderId="0" xfId="0" applyFont="1"/>
    <xf numFmtId="0" fontId="13" fillId="0" borderId="0" xfId="0" applyFont="1"/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7" fillId="6" borderId="0" xfId="0" applyFont="1" applyFill="1"/>
    <xf numFmtId="0" fontId="7" fillId="6" borderId="0" xfId="0" applyFont="1" applyFill="1" applyAlignment="1">
      <alignment horizontal="center"/>
    </xf>
    <xf numFmtId="0" fontId="14" fillId="0" borderId="0" xfId="0" applyFont="1"/>
    <xf numFmtId="0" fontId="13" fillId="0" borderId="0" xfId="11" applyFont="1" applyBorder="1"/>
    <xf numFmtId="9" fontId="13" fillId="0" borderId="0" xfId="11" applyNumberFormat="1" applyFont="1" applyBorder="1" applyAlignment="1">
      <alignment horizontal="center"/>
    </xf>
    <xf numFmtId="9" fontId="13" fillId="0" borderId="0" xfId="0" applyNumberFormat="1" applyFont="1"/>
    <xf numFmtId="0" fontId="14" fillId="0" borderId="0" xfId="0" applyFont="1" applyAlignment="1">
      <alignment horizontal="right"/>
    </xf>
    <xf numFmtId="0" fontId="13" fillId="0" borderId="0" xfId="0" applyFont="1" applyAlignment="1">
      <alignment horizontal="right"/>
    </xf>
    <xf numFmtId="9" fontId="13" fillId="0" borderId="0" xfId="1" applyFont="1"/>
    <xf numFmtId="0" fontId="9" fillId="0" borderId="0" xfId="12" applyFont="1"/>
    <xf numFmtId="166" fontId="13" fillId="0" borderId="0" xfId="10" applyNumberFormat="1" applyFont="1"/>
    <xf numFmtId="1" fontId="14" fillId="0" borderId="0" xfId="0" applyNumberFormat="1" applyFont="1"/>
    <xf numFmtId="171" fontId="9" fillId="0" borderId="0" xfId="0" applyNumberFormat="1" applyFont="1"/>
    <xf numFmtId="0" fontId="8" fillId="0" borderId="0" xfId="0" applyFont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16" fontId="8" fillId="0" borderId="1" xfId="0" applyNumberFormat="1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right" vertical="center" wrapText="1"/>
    </xf>
    <xf numFmtId="0" fontId="7" fillId="4" borderId="0" xfId="0" applyFont="1" applyFill="1" applyAlignment="1">
      <alignment horizontal="center" vertical="center"/>
    </xf>
    <xf numFmtId="0" fontId="9" fillId="0" borderId="1" xfId="0" applyFont="1" applyBorder="1" applyAlignment="1">
      <alignment vertical="center"/>
    </xf>
    <xf numFmtId="16" fontId="9" fillId="0" borderId="1" xfId="0" applyNumberFormat="1" applyFont="1" applyBorder="1" applyAlignment="1">
      <alignment vertical="center"/>
    </xf>
    <xf numFmtId="0" fontId="7" fillId="4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1" fillId="4" borderId="1" xfId="0" applyFont="1" applyFill="1" applyBorder="1"/>
    <xf numFmtId="0" fontId="8" fillId="0" borderId="1" xfId="0" applyFont="1" applyBorder="1" applyAlignment="1">
      <alignment horizontal="left"/>
    </xf>
    <xf numFmtId="0" fontId="8" fillId="0" borderId="1" xfId="0" applyFont="1" applyBorder="1"/>
    <xf numFmtId="0" fontId="11" fillId="4" borderId="1" xfId="0" applyFont="1" applyFill="1" applyBorder="1" applyAlignment="1">
      <alignment horizontal="left"/>
    </xf>
    <xf numFmtId="0" fontId="9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vertical="center" wrapText="1"/>
    </xf>
    <xf numFmtId="164" fontId="8" fillId="0" borderId="0" xfId="10" applyFont="1" applyAlignment="1">
      <alignment vertical="center" wrapText="1"/>
    </xf>
    <xf numFmtId="9" fontId="9" fillId="0" borderId="0" xfId="0" applyNumberFormat="1" applyFont="1"/>
    <xf numFmtId="164" fontId="8" fillId="0" borderId="0" xfId="10" applyFont="1"/>
    <xf numFmtId="9" fontId="8" fillId="0" borderId="0" xfId="1" applyFont="1"/>
    <xf numFmtId="164" fontId="9" fillId="0" borderId="0" xfId="0" applyNumberFormat="1" applyFont="1"/>
    <xf numFmtId="164" fontId="9" fillId="0" borderId="0" xfId="10" applyFont="1"/>
    <xf numFmtId="0" fontId="8" fillId="0" borderId="0" xfId="0" applyFont="1" applyAlignment="1">
      <alignment horizontal="right"/>
    </xf>
    <xf numFmtId="17" fontId="9" fillId="0" borderId="6" xfId="0" applyNumberFormat="1" applyFont="1" applyBorder="1"/>
    <xf numFmtId="0" fontId="15" fillId="0" borderId="0" xfId="0" applyFont="1"/>
    <xf numFmtId="0" fontId="9" fillId="0" borderId="6" xfId="0" applyFont="1" applyBorder="1" applyAlignment="1">
      <alignment horizontal="center"/>
    </xf>
    <xf numFmtId="0" fontId="11" fillId="4" borderId="0" xfId="0" applyFont="1" applyFill="1"/>
    <xf numFmtId="0" fontId="9" fillId="7" borderId="0" xfId="0" applyFont="1" applyFill="1" applyAlignment="1">
      <alignment horizontal="center"/>
    </xf>
    <xf numFmtId="9" fontId="9" fillId="0" borderId="0" xfId="1" applyFont="1" applyAlignment="1">
      <alignment horizontal="center"/>
    </xf>
    <xf numFmtId="16" fontId="8" fillId="0" borderId="0" xfId="0" applyNumberFormat="1" applyFont="1" applyAlignment="1">
      <alignment horizontal="center"/>
    </xf>
    <xf numFmtId="0" fontId="8" fillId="7" borderId="0" xfId="0" applyFont="1" applyFill="1" applyAlignment="1">
      <alignment horizontal="center"/>
    </xf>
    <xf numFmtId="9" fontId="16" fillId="0" borderId="0" xfId="1" applyFont="1" applyAlignment="1">
      <alignment horizontal="center"/>
    </xf>
    <xf numFmtId="9" fontId="9" fillId="0" borderId="0" xfId="0" applyNumberFormat="1" applyFont="1" applyAlignment="1">
      <alignment horizontal="center"/>
    </xf>
    <xf numFmtId="9" fontId="13" fillId="7" borderId="0" xfId="0" applyNumberFormat="1" applyFont="1" applyFill="1"/>
    <xf numFmtId="1" fontId="13" fillId="7" borderId="0" xfId="11" applyNumberFormat="1" applyFont="1" applyFill="1" applyBorder="1"/>
    <xf numFmtId="1" fontId="14" fillId="7" borderId="0" xfId="0" applyNumberFormat="1" applyFont="1" applyFill="1"/>
    <xf numFmtId="164" fontId="13" fillId="7" borderId="0" xfId="10" applyFont="1" applyFill="1"/>
    <xf numFmtId="166" fontId="13" fillId="7" borderId="0" xfId="10" applyNumberFormat="1" applyFont="1" applyFill="1"/>
    <xf numFmtId="167" fontId="14" fillId="7" borderId="0" xfId="9" applyNumberFormat="1" applyFont="1" applyFill="1"/>
    <xf numFmtId="167" fontId="13" fillId="7" borderId="0" xfId="9" applyNumberFormat="1" applyFont="1" applyFill="1"/>
    <xf numFmtId="168" fontId="13" fillId="7" borderId="0" xfId="0" applyNumberFormat="1" applyFont="1" applyFill="1"/>
    <xf numFmtId="166" fontId="14" fillId="7" borderId="0" xfId="0" applyNumberFormat="1" applyFont="1" applyFill="1"/>
    <xf numFmtId="170" fontId="9" fillId="7" borderId="0" xfId="0" applyNumberFormat="1" applyFont="1" applyFill="1"/>
    <xf numFmtId="169" fontId="8" fillId="7" borderId="0" xfId="0" applyNumberFormat="1" applyFont="1" applyFill="1"/>
    <xf numFmtId="171" fontId="13" fillId="7" borderId="0" xfId="11" applyNumberFormat="1" applyFont="1" applyFill="1" applyBorder="1"/>
    <xf numFmtId="171" fontId="14" fillId="7" borderId="0" xfId="0" applyNumberFormat="1" applyFont="1" applyFill="1"/>
    <xf numFmtId="171" fontId="8" fillId="7" borderId="0" xfId="10" applyNumberFormat="1" applyFont="1" applyFill="1"/>
    <xf numFmtId="171" fontId="9" fillId="7" borderId="0" xfId="0" applyNumberFormat="1" applyFont="1" applyFill="1"/>
    <xf numFmtId="9" fontId="8" fillId="7" borderId="0" xfId="1" applyFont="1" applyFill="1"/>
    <xf numFmtId="9" fontId="9" fillId="7" borderId="0" xfId="1" applyFont="1" applyFill="1"/>
    <xf numFmtId="164" fontId="8" fillId="7" borderId="0" xfId="10" applyFont="1" applyFill="1"/>
    <xf numFmtId="164" fontId="9" fillId="7" borderId="0" xfId="0" applyNumberFormat="1" applyFont="1" applyFill="1"/>
    <xf numFmtId="0" fontId="8" fillId="7" borderId="1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center" vertical="center" wrapText="1"/>
    </xf>
    <xf numFmtId="171" fontId="9" fillId="7" borderId="1" xfId="10" applyNumberFormat="1" applyFont="1" applyFill="1" applyBorder="1" applyAlignment="1">
      <alignment vertical="center" wrapText="1"/>
    </xf>
    <xf numFmtId="171" fontId="9" fillId="7" borderId="6" xfId="0" applyNumberFormat="1" applyFont="1" applyFill="1" applyBorder="1" applyAlignment="1">
      <alignment vertical="center" wrapText="1"/>
    </xf>
    <xf numFmtId="0" fontId="9" fillId="7" borderId="6" xfId="0" applyFont="1" applyFill="1" applyBorder="1" applyAlignment="1">
      <alignment vertical="center" wrapText="1"/>
    </xf>
    <xf numFmtId="0" fontId="14" fillId="8" borderId="0" xfId="0" applyFont="1" applyFill="1" applyAlignment="1">
      <alignment horizontal="right"/>
    </xf>
    <xf numFmtId="9" fontId="14" fillId="8" borderId="0" xfId="1" applyFont="1" applyFill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</cellXfs>
  <cellStyles count="14">
    <cellStyle name="Activity" xfId="4" xr:uid="{5E1EBF64-71FD-48C9-B921-A97B01A8B21B}"/>
    <cellStyle name="Currency 3" xfId="13" xr:uid="{3EBC1F96-8627-4440-AA54-41F237BBC895}"/>
    <cellStyle name="Label" xfId="6" xr:uid="{825110AE-5071-46CB-A79F-5DE8ABF3DCD7}"/>
    <cellStyle name="Migliaia" xfId="9" builtinId="3"/>
    <cellStyle name="Normal 12 2" xfId="12" xr:uid="{D89C26F2-8712-417A-AF57-CD7CAE22C10E}"/>
    <cellStyle name="Normal 2 2" xfId="2" xr:uid="{16E05D5E-080F-4608-A956-B2018D9F621C}"/>
    <cellStyle name="Normale" xfId="0" builtinId="0"/>
    <cellStyle name="Percent 2" xfId="3" xr:uid="{9D55D5D2-F452-41AF-8D03-A9D23DAA012E}"/>
    <cellStyle name="Percentuale" xfId="1" builtinId="5"/>
    <cellStyle name="Period Headers" xfId="8" xr:uid="{2D0A7B78-F884-4C0F-958D-73BD8F7EF7E0}"/>
    <cellStyle name="Period Highlight Control" xfId="5" xr:uid="{A6A911D4-0271-4D6C-92F1-516EE5C8C6F4}"/>
    <cellStyle name="Project Headers" xfId="7" xr:uid="{ED27C7FC-1859-4489-B368-A95D831B7E56}"/>
    <cellStyle name="Titolo 3" xfId="11" builtinId="18"/>
    <cellStyle name="Valuta" xfId="10" builtinId="4"/>
  </cellStyles>
  <dxfs count="2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960" b="1" i="0" u="none" strike="noStrike" kern="1200" cap="none" spc="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r>
              <a:rPr lang="en-US" sz="96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rPr>
              <a:t>CCI Margin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960" b="1" i="0" u="none" strike="noStrike" kern="1200" cap="none" spc="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'04_Forecast'!$C$35</c:f>
              <c:strCache>
                <c:ptCount val="1"/>
                <c:pt idx="0">
                  <c:v>Margin (%)</c:v>
                </c:pt>
              </c:strCache>
            </c:strRef>
          </c:tx>
          <c:spPr>
            <a:ln w="2222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'04_Forecast'!$D$35:$K$35</c:f>
              <c:numCache>
                <c:formatCode>0%</c:formatCode>
                <c:ptCount val="8"/>
                <c:pt idx="0">
                  <c:v>0.51753086419753092</c:v>
                </c:pt>
                <c:pt idx="1">
                  <c:v>0.51753086419753092</c:v>
                </c:pt>
                <c:pt idx="2">
                  <c:v>-0.53596153846153849</c:v>
                </c:pt>
                <c:pt idx="3">
                  <c:v>0.61358974358974361</c:v>
                </c:pt>
                <c:pt idx="4">
                  <c:v>0.61358974358974361</c:v>
                </c:pt>
                <c:pt idx="5">
                  <c:v>0.61358974358974361</c:v>
                </c:pt>
                <c:pt idx="6">
                  <c:v>0.61358974358974361</c:v>
                </c:pt>
                <c:pt idx="7">
                  <c:v>0.48288461538461541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D5-482C-A1EE-783D94ED5C8C}"/>
            </c:ext>
          </c:extLst>
        </c:ser>
        <c:ser>
          <c:idx val="1"/>
          <c:order val="1"/>
          <c:tx>
            <c:strRef>
              <c:f>'04_Forecast'!$C$36</c:f>
              <c:strCache>
                <c:ptCount val="1"/>
                <c:pt idx="0">
                  <c:v>CCI% YTD</c:v>
                </c:pt>
              </c:strCache>
            </c:strRef>
          </c:tx>
          <c:spPr>
            <a:ln w="22225" cap="rnd">
              <a:solidFill>
                <a:srgbClr val="C00000"/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'04_Forecast'!$D$36:$K$36</c:f>
              <c:numCache>
                <c:formatCode>0%</c:formatCode>
                <c:ptCount val="8"/>
                <c:pt idx="0">
                  <c:v>0.51753086419753092</c:v>
                </c:pt>
                <c:pt idx="1">
                  <c:v>0.51753086419753092</c:v>
                </c:pt>
                <c:pt idx="2">
                  <c:v>0.26154205607476638</c:v>
                </c:pt>
                <c:pt idx="3">
                  <c:v>0.31581027667984191</c:v>
                </c:pt>
                <c:pt idx="4">
                  <c:v>0.3555821917808219</c:v>
                </c:pt>
                <c:pt idx="5">
                  <c:v>0.3859818731117825</c:v>
                </c:pt>
                <c:pt idx="6">
                  <c:v>0.40997297297297297</c:v>
                </c:pt>
                <c:pt idx="7">
                  <c:v>0.41895734597156398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D5-482C-A1EE-783D94ED5C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7619376"/>
        <c:axId val="1987620336"/>
      </c:lineChart>
      <c:catAx>
        <c:axId val="1987619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620336"/>
        <c:crosses val="autoZero"/>
        <c:auto val="1"/>
        <c:lblAlgn val="ctr"/>
        <c:lblOffset val="100"/>
        <c:noMultiLvlLbl val="0"/>
      </c:catAx>
      <c:valAx>
        <c:axId val="198762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619376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Migration_Project Plan.xlsx]05_Risk_Assessment!PivotTable8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r>
              <a:rPr lang="en-US" b="1"/>
              <a:t>Overall Risk Value</a:t>
            </a:r>
          </a:p>
        </c:rich>
      </c:tx>
      <c:layout>
        <c:manualLayout>
          <c:xMode val="edge"/>
          <c:yMode val="edge"/>
          <c:x val="0.40821465156051473"/>
          <c:y val="3.84395262398138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C0000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Poppins" panose="00000500000000000000" pitchFamily="2" charset="0"/>
                  <a:ea typeface="+mn-ea"/>
                  <a:cs typeface="Poppins" panose="00000500000000000000" pitchFamily="2" charset="0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9813195461120129"/>
          <c:y val="0.21574760468026391"/>
          <c:w val="0.42888387695256686"/>
          <c:h val="0.64739226436621111"/>
        </c:manualLayout>
      </c:layout>
      <c:radarChart>
        <c:radarStyle val="marker"/>
        <c:varyColors val="0"/>
        <c:ser>
          <c:idx val="0"/>
          <c:order val="0"/>
          <c:tx>
            <c:strRef>
              <c:f>'05_Risk_Assessment'!$B$15</c:f>
              <c:strCache>
                <c:ptCount val="1"/>
                <c:pt idx="0">
                  <c:v>Totale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'05_Risk_Assessment'!$A$16:$A$20</c:f>
              <c:strCache>
                <c:ptCount val="4"/>
                <c:pt idx="0">
                  <c:v>BR</c:v>
                </c:pt>
                <c:pt idx="1">
                  <c:v>QR</c:v>
                </c:pt>
                <c:pt idx="2">
                  <c:v>RR</c:v>
                </c:pt>
                <c:pt idx="3">
                  <c:v>TR</c:v>
                </c:pt>
              </c:strCache>
            </c:strRef>
          </c:cat>
          <c:val>
            <c:numRef>
              <c:f>'05_Risk_Assessment'!$B$16:$B$20</c:f>
              <c:numCache>
                <c:formatCode>General</c:formatCode>
                <c:ptCount val="4"/>
                <c:pt idx="0">
                  <c:v>16</c:v>
                </c:pt>
                <c:pt idx="1">
                  <c:v>29</c:v>
                </c:pt>
                <c:pt idx="2">
                  <c:v>9</c:v>
                </c:pt>
                <c:pt idx="3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F8-4FD3-BC9D-66205221D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7974031"/>
        <c:axId val="1927974511"/>
      </c:radarChart>
      <c:catAx>
        <c:axId val="192797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n-US"/>
          </a:p>
        </c:txPr>
        <c:crossAx val="1927974511"/>
        <c:crosses val="autoZero"/>
        <c:auto val="1"/>
        <c:lblAlgn val="ctr"/>
        <c:lblOffset val="100"/>
        <c:noMultiLvlLbl val="0"/>
      </c:catAx>
      <c:valAx>
        <c:axId val="192797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n-US"/>
          </a:p>
        </c:txPr>
        <c:crossAx val="1927974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05073486417215"/>
          <c:y val="0.91259146864277341"/>
          <c:w val="0.12333856228514894"/>
          <c:h val="5.97115535310805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Poppins" panose="00000500000000000000" pitchFamily="2" charset="0"/>
          <a:cs typeface="Poppins" panose="000005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36</xdr:row>
      <xdr:rowOff>185737</xdr:rowOff>
    </xdr:from>
    <xdr:to>
      <xdr:col>11</xdr:col>
      <xdr:colOff>19050</xdr:colOff>
      <xdr:row>50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235FA6-72A5-570A-9ABB-2432C380B2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1704974</xdr:colOff>
      <xdr:row>13</xdr:row>
      <xdr:rowOff>95250</xdr:rowOff>
    </xdr:from>
    <xdr:to>
      <xdr:col>10</xdr:col>
      <xdr:colOff>0</xdr:colOff>
      <xdr:row>33</xdr:row>
      <xdr:rowOff>28574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27C7558-638A-4CC6-1F12-646E04FF22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co Fanfoni" id="{BC62601D-39F1-4D63-BA18-02DF07D2BB29}" userId="S::marco.fanfoni@txtgroup.com::e0483462-deba-421b-b5f7-276f6c8c34a0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o Fanfoni" refreshedDate="46132.47648229167" createdVersion="8" refreshedVersion="8" minRefreshableVersion="3" recordCount="10" xr:uid="{EA2F271E-C742-4BB1-9227-E87DBEA108CD}">
  <cacheSource type="worksheet">
    <worksheetSource ref="A3:G13" sheet="05_Risk_Assessment"/>
  </cacheSource>
  <cacheFields count="6">
    <cacheField name="No." numFmtId="0">
      <sharedItems containsString="0" containsBlank="1" containsNumber="1" containsInteger="1" minValue="1" maxValue="7"/>
    </cacheField>
    <cacheField name="Description of Risk" numFmtId="0">
      <sharedItems containsBlank="1"/>
    </cacheField>
    <cacheField name="Risk Category" numFmtId="0">
      <sharedItems containsBlank="1" count="5">
        <s v="QR"/>
        <s v="TR"/>
        <s v="BR"/>
        <s v="RR"/>
        <m/>
      </sharedItems>
    </cacheField>
    <cacheField name="Impact" numFmtId="0">
      <sharedItems containsString="0" containsBlank="1" containsNumber="1" containsInteger="1" minValue="3" maxValue="5"/>
    </cacheField>
    <cacheField name="Probability" numFmtId="0">
      <sharedItems containsString="0" containsBlank="1" containsNumber="1" containsInteger="1" minValue="3" maxValue="4"/>
    </cacheField>
    <cacheField name="Overall Risk Value" numFmtId="0">
      <sharedItems containsString="0" containsBlank="1" containsNumber="1" containsInteger="1" minValue="9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"/>
    <s v="Non completezza degli swagger"/>
    <x v="0"/>
    <n v="3"/>
    <n v="3"/>
    <n v="9"/>
  </r>
  <r>
    <n v="2"/>
    <s v="API di test non disponibili entro la data del 17/07"/>
    <x v="1"/>
    <n v="3"/>
    <n v="3"/>
    <n v="9"/>
  </r>
  <r>
    <n v="3"/>
    <s v="API non funzionamenti e necessità di rework da parte di ING"/>
    <x v="0"/>
    <n v="5"/>
    <n v="4"/>
    <n v="20"/>
  </r>
  <r>
    <n v="4"/>
    <s v="Necessità di esecuzione dei SIT maggiore rispetto la pianificazione iniziale"/>
    <x v="1"/>
    <n v="4"/>
    <n v="4"/>
    <n v="16"/>
  </r>
  <r>
    <n v="5"/>
    <s v="Necessità di esecuzione dei UAT maggiore rispetto la pianificazione iniziale"/>
    <x v="1"/>
    <n v="4"/>
    <n v="4"/>
    <n v="16"/>
  </r>
  <r>
    <n v="6"/>
    <s v="Necessità di maggiore effort per analisi di dettaglio"/>
    <x v="2"/>
    <n v="4"/>
    <n v="4"/>
    <n v="16"/>
  </r>
  <r>
    <n v="7"/>
    <s v="Necessità di maggiori risorse per il supporto"/>
    <x v="3"/>
    <n v="3"/>
    <n v="3"/>
    <n v="9"/>
  </r>
  <r>
    <m/>
    <m/>
    <x v="4"/>
    <m/>
    <m/>
    <m/>
  </r>
  <r>
    <m/>
    <m/>
    <x v="4"/>
    <m/>
    <m/>
    <m/>
  </r>
  <r>
    <m/>
    <m/>
    <x v="4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20A649-B5E6-41AF-BC1B-49D7174AE7C3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Risk Category">
  <location ref="A15:B20" firstHeaderRow="1" firstDataRow="1" firstDataCol="1"/>
  <pivotFields count="6">
    <pivotField showAll="0"/>
    <pivotField showAll="0"/>
    <pivotField axis="axisRow" showAll="0">
      <items count="6">
        <item x="2"/>
        <item x="0"/>
        <item x="3"/>
        <item x="1"/>
        <item h="1" x="4"/>
        <item t="default"/>
      </items>
    </pivotField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Overall Risk Value" fld="5" baseField="0" baseItem="0"/>
  </dataFields>
  <formats count="26"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2" type="button" dataOnly="0" labelOnly="1" outline="0" axis="axisRow" fieldPosition="0"/>
    </format>
    <format dxfId="22">
      <pivotArea dataOnly="0" labelOnly="1" fieldPosition="0">
        <references count="1">
          <reference field="2" count="0"/>
        </references>
      </pivotArea>
    </format>
    <format dxfId="21">
      <pivotArea dataOnly="0" labelOnly="1" grandRow="1" outline="0" fieldPosition="0"/>
    </format>
    <format dxfId="20">
      <pivotArea dataOnly="0" labelOnly="1" outline="0" axis="axisValues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2" type="button" dataOnly="0" labelOnly="1" outline="0" axis="axisRow" fieldPosition="0"/>
    </format>
    <format dxfId="16">
      <pivotArea dataOnly="0" labelOnly="1" fieldPosition="0">
        <references count="1">
          <reference field="2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  <format dxfId="13">
      <pivotArea field="2" type="button" dataOnly="0" labelOnly="1" outline="0" axis="axisRow" fieldPosition="0"/>
    </format>
    <format dxfId="12">
      <pivotArea dataOnly="0" labelOnly="1" outline="0" axis="axisValues" fieldPosition="0"/>
    </format>
    <format dxfId="11">
      <pivotArea field="2" type="button" dataOnly="0" labelOnly="1" outline="0" axis="axisRow" fieldPosition="0"/>
    </format>
    <format dxfId="10">
      <pivotArea dataOnly="0" labelOnly="1" outline="0" axis="axisValues" fieldPosition="0"/>
    </format>
    <format dxfId="9">
      <pivotArea grandRow="1" outline="0" collapsedLevelsAreSubtotals="1" fieldPosition="0"/>
    </format>
    <format dxfId="8">
      <pivotArea dataOnly="0" labelOnly="1" grandRow="1" outline="0" fieldPosition="0"/>
    </format>
    <format dxfId="7">
      <pivotArea grandRow="1" outline="0" collapsedLevelsAreSubtotals="1" fieldPosition="0"/>
    </format>
    <format dxfId="6">
      <pivotArea dataOnly="0" labelOnly="1" grandRow="1" outline="0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2" type="button" dataOnly="0" labelOnly="1" outline="0" axis="axisRow" fieldPosition="0"/>
    </format>
    <format dxfId="2">
      <pivotArea dataOnly="0" labelOnly="1" fieldPosition="0">
        <references count="1">
          <reference field="2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4" dT="2026-04-27T15:19:28.35" personId="{BC62601D-39F1-4D63-BA18-02DF07D2BB29}" id="{CBBAFE7F-89D6-4450-99C9-08EB4917069D}">
    <text>+30.000 licenze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8322A-829F-4F66-BF76-973DDC261B9E}">
  <dimension ref="A1:C4"/>
  <sheetViews>
    <sheetView zoomScale="102" zoomScaleNormal="100" workbookViewId="0"/>
  </sheetViews>
  <sheetFormatPr defaultColWidth="9.109375" defaultRowHeight="15.6" x14ac:dyDescent="0.3"/>
  <cols>
    <col min="1" max="1" width="17" style="1" customWidth="1"/>
    <col min="2" max="2" width="108.44140625" style="1" customWidth="1"/>
    <col min="3" max="3" width="20.88671875" style="1" customWidth="1"/>
    <col min="4" max="16384" width="9.109375" style="1"/>
  </cols>
  <sheetData>
    <row r="1" spans="1:3" x14ac:dyDescent="0.3">
      <c r="A1" s="37" t="s">
        <v>20</v>
      </c>
      <c r="B1" s="37" t="s">
        <v>1</v>
      </c>
      <c r="C1" s="37" t="s">
        <v>16</v>
      </c>
    </row>
    <row r="2" spans="1:3" ht="109.2" x14ac:dyDescent="0.3">
      <c r="A2" s="38" t="s">
        <v>17</v>
      </c>
      <c r="B2" s="32" t="s">
        <v>78</v>
      </c>
      <c r="C2" s="39">
        <v>46142</v>
      </c>
    </row>
    <row r="3" spans="1:3" ht="312" x14ac:dyDescent="0.3">
      <c r="A3" s="38" t="s">
        <v>18</v>
      </c>
      <c r="B3" s="32" t="s">
        <v>79</v>
      </c>
      <c r="C3" s="39">
        <v>46283</v>
      </c>
    </row>
    <row r="4" spans="1:3" ht="109.2" x14ac:dyDescent="0.3">
      <c r="A4" s="38" t="s">
        <v>19</v>
      </c>
      <c r="B4" s="32" t="s">
        <v>96</v>
      </c>
      <c r="C4" s="39">
        <v>46318</v>
      </c>
    </row>
  </sheetData>
  <autoFilter ref="A1:C1" xr:uid="{9598322A-829F-4F66-BF76-973DDC261B9E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B4DDF-5417-45F5-9237-A8914CDD267C}">
  <dimension ref="A1:G10"/>
  <sheetViews>
    <sheetView zoomScale="144" zoomScaleNormal="100" workbookViewId="0">
      <selection activeCell="B9" sqref="B9"/>
    </sheetView>
  </sheetViews>
  <sheetFormatPr defaultColWidth="19.33203125" defaultRowHeight="15.6" x14ac:dyDescent="0.3"/>
  <cols>
    <col min="1" max="1" width="10.5546875" style="28" customWidth="1"/>
    <col min="2" max="2" width="44.88671875" style="2" customWidth="1"/>
    <col min="3" max="16384" width="19.33203125" style="2"/>
  </cols>
  <sheetData>
    <row r="1" spans="1:7" s="30" customFormat="1" x14ac:dyDescent="0.3">
      <c r="A1" s="29" t="s">
        <v>21</v>
      </c>
      <c r="B1" s="29" t="s">
        <v>74</v>
      </c>
      <c r="C1" s="29" t="s">
        <v>2</v>
      </c>
      <c r="D1" s="29" t="s">
        <v>20</v>
      </c>
      <c r="E1" s="29" t="s">
        <v>12</v>
      </c>
      <c r="F1" s="29" t="s">
        <v>75</v>
      </c>
      <c r="G1" s="29" t="s">
        <v>76</v>
      </c>
    </row>
    <row r="2" spans="1:7" ht="31.2" x14ac:dyDescent="0.3">
      <c r="A2" s="31" t="s">
        <v>59</v>
      </c>
      <c r="B2" s="32" t="s">
        <v>26</v>
      </c>
      <c r="C2" s="32" t="s">
        <v>15</v>
      </c>
      <c r="D2" s="32" t="s">
        <v>17</v>
      </c>
      <c r="E2" s="33" t="s">
        <v>14</v>
      </c>
      <c r="F2" s="34">
        <v>46101</v>
      </c>
      <c r="G2" s="34">
        <v>46101</v>
      </c>
    </row>
    <row r="3" spans="1:7" x14ac:dyDescent="0.3">
      <c r="A3" s="31" t="s">
        <v>60</v>
      </c>
      <c r="B3" s="32" t="s">
        <v>61</v>
      </c>
      <c r="C3" s="32" t="s">
        <v>15</v>
      </c>
      <c r="D3" s="32" t="s">
        <v>17</v>
      </c>
      <c r="E3" s="33" t="s">
        <v>14</v>
      </c>
      <c r="F3" s="34">
        <v>46101</v>
      </c>
      <c r="G3" s="34">
        <v>46101</v>
      </c>
    </row>
    <row r="4" spans="1:7" ht="31.2" x14ac:dyDescent="0.3">
      <c r="A4" s="31" t="s">
        <v>62</v>
      </c>
      <c r="B4" s="32" t="s">
        <v>25</v>
      </c>
      <c r="C4" s="32" t="s">
        <v>15</v>
      </c>
      <c r="D4" s="32" t="s">
        <v>17</v>
      </c>
      <c r="E4" s="35" t="s">
        <v>13</v>
      </c>
      <c r="F4" s="34">
        <v>46101</v>
      </c>
      <c r="G4" s="34">
        <v>46127</v>
      </c>
    </row>
    <row r="5" spans="1:7" ht="46.8" x14ac:dyDescent="0.3">
      <c r="A5" s="31" t="s">
        <v>63</v>
      </c>
      <c r="B5" s="32" t="s">
        <v>64</v>
      </c>
      <c r="C5" s="32" t="s">
        <v>15</v>
      </c>
      <c r="D5" s="32" t="s">
        <v>18</v>
      </c>
      <c r="E5" s="35" t="s">
        <v>13</v>
      </c>
      <c r="F5" s="36" t="s">
        <v>77</v>
      </c>
      <c r="G5" s="34">
        <v>46127</v>
      </c>
    </row>
    <row r="6" spans="1:7" x14ac:dyDescent="0.3">
      <c r="A6" s="31" t="s">
        <v>65</v>
      </c>
      <c r="B6" s="32" t="s">
        <v>66</v>
      </c>
      <c r="C6" s="32" t="s">
        <v>15</v>
      </c>
      <c r="D6" s="32" t="s">
        <v>18</v>
      </c>
      <c r="E6" s="35" t="s">
        <v>13</v>
      </c>
      <c r="F6" s="36" t="s">
        <v>77</v>
      </c>
      <c r="G6" s="34">
        <v>46157</v>
      </c>
    </row>
    <row r="7" spans="1:7" ht="31.2" x14ac:dyDescent="0.3">
      <c r="A7" s="31" t="s">
        <v>67</v>
      </c>
      <c r="B7" s="32" t="s">
        <v>68</v>
      </c>
      <c r="C7" s="32" t="s">
        <v>15</v>
      </c>
      <c r="D7" s="32" t="s">
        <v>18</v>
      </c>
      <c r="E7" s="35" t="s">
        <v>13</v>
      </c>
      <c r="F7" s="34">
        <v>46111</v>
      </c>
      <c r="G7" s="34">
        <v>46220</v>
      </c>
    </row>
    <row r="8" spans="1:7" x14ac:dyDescent="0.3">
      <c r="A8" s="31" t="s">
        <v>69</v>
      </c>
      <c r="B8" s="32" t="s">
        <v>70</v>
      </c>
      <c r="C8" s="32" t="s">
        <v>15</v>
      </c>
      <c r="D8" s="32" t="s">
        <v>18</v>
      </c>
      <c r="E8" s="35" t="s">
        <v>13</v>
      </c>
      <c r="F8" s="34">
        <v>46172</v>
      </c>
      <c r="G8" s="34">
        <v>46220</v>
      </c>
    </row>
    <row r="9" spans="1:7" ht="46.8" x14ac:dyDescent="0.3">
      <c r="A9" s="31" t="s">
        <v>71</v>
      </c>
      <c r="B9" s="32" t="s">
        <v>72</v>
      </c>
      <c r="C9" s="32" t="s">
        <v>15</v>
      </c>
      <c r="D9" s="32" t="s">
        <v>18</v>
      </c>
      <c r="E9" s="35" t="s">
        <v>13</v>
      </c>
      <c r="F9" s="34">
        <v>46111</v>
      </c>
      <c r="G9" s="34">
        <v>46266</v>
      </c>
    </row>
    <row r="10" spans="1:7" ht="31.2" x14ac:dyDescent="0.3">
      <c r="A10" s="31" t="s">
        <v>73</v>
      </c>
      <c r="B10" s="32" t="s">
        <v>27</v>
      </c>
      <c r="C10" s="32" t="s">
        <v>15</v>
      </c>
      <c r="D10" s="32" t="s">
        <v>19</v>
      </c>
      <c r="E10" s="35" t="s">
        <v>13</v>
      </c>
      <c r="F10" s="34">
        <v>46142</v>
      </c>
      <c r="G10" s="34">
        <v>46241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163B4-B02B-40FC-859A-E239180429F7}">
  <dimension ref="A1:K38"/>
  <sheetViews>
    <sheetView tabSelected="1" zoomScale="99" zoomScaleNormal="180" workbookViewId="0">
      <selection activeCell="C7" sqref="C7"/>
    </sheetView>
  </sheetViews>
  <sheetFormatPr defaultColWidth="19.109375" defaultRowHeight="15.6" x14ac:dyDescent="0.55000000000000004"/>
  <cols>
    <col min="1" max="1" width="7.33203125" style="3" customWidth="1"/>
    <col min="2" max="2" width="26.6640625" style="3" bestFit="1" customWidth="1"/>
    <col min="3" max="3" width="32.6640625" style="6" bestFit="1" customWidth="1"/>
    <col min="4" max="4" width="9.33203125" style="7" bestFit="1" customWidth="1"/>
    <col min="5" max="5" width="9.88671875" style="7" bestFit="1" customWidth="1"/>
    <col min="6" max="6" width="11" style="7" bestFit="1" customWidth="1"/>
    <col min="7" max="7" width="16.5546875" style="7" bestFit="1" customWidth="1"/>
    <col min="8" max="8" width="13.44140625" style="7" bestFit="1" customWidth="1"/>
    <col min="9" max="10" width="12.44140625" style="7" bestFit="1" customWidth="1"/>
    <col min="11" max="11" width="10.6640625" style="7" bestFit="1" customWidth="1"/>
    <col min="12" max="16384" width="19.109375" style="3"/>
  </cols>
  <sheetData>
    <row r="1" spans="1:11" s="9" customFormat="1" x14ac:dyDescent="0.55000000000000004">
      <c r="A1" s="4" t="s">
        <v>31</v>
      </c>
      <c r="B1" s="4" t="s">
        <v>28</v>
      </c>
      <c r="C1" s="5" t="s">
        <v>32</v>
      </c>
      <c r="D1" s="4" t="s">
        <v>20</v>
      </c>
      <c r="E1" s="4" t="s">
        <v>24</v>
      </c>
      <c r="F1" s="4" t="s">
        <v>2</v>
      </c>
      <c r="G1" s="4" t="s">
        <v>23</v>
      </c>
      <c r="H1" s="4" t="s">
        <v>34</v>
      </c>
      <c r="I1" s="4" t="s">
        <v>35</v>
      </c>
      <c r="J1" s="4" t="s">
        <v>22</v>
      </c>
      <c r="K1" s="4" t="s">
        <v>29</v>
      </c>
    </row>
    <row r="2" spans="1:11" ht="31.2" x14ac:dyDescent="0.55000000000000004">
      <c r="A2" s="62">
        <v>1</v>
      </c>
      <c r="B2" s="11" t="s">
        <v>113</v>
      </c>
      <c r="C2" s="6" t="s">
        <v>119</v>
      </c>
      <c r="G2" s="63"/>
      <c r="H2" s="64"/>
      <c r="I2" s="64"/>
      <c r="J2" s="65"/>
      <c r="K2" s="62"/>
    </row>
    <row r="3" spans="1:11" x14ac:dyDescent="0.55000000000000004">
      <c r="A3" s="62">
        <f>A2+1</f>
        <v>2</v>
      </c>
      <c r="B3" s="11" t="s">
        <v>113</v>
      </c>
      <c r="C3" s="6" t="s">
        <v>114</v>
      </c>
      <c r="D3" s="7" t="s">
        <v>17</v>
      </c>
      <c r="G3" s="63"/>
      <c r="H3" s="64"/>
      <c r="I3" s="64"/>
      <c r="J3" s="65">
        <f>I3-H3</f>
        <v>0</v>
      </c>
      <c r="K3" s="62">
        <f>E3*G3</f>
        <v>0</v>
      </c>
    </row>
    <row r="4" spans="1:11" x14ac:dyDescent="0.55000000000000004">
      <c r="A4" s="62">
        <f>A3+1</f>
        <v>3</v>
      </c>
      <c r="B4" s="11" t="s">
        <v>113</v>
      </c>
      <c r="C4" s="6" t="s">
        <v>115</v>
      </c>
      <c r="D4" s="7" t="s">
        <v>17</v>
      </c>
      <c r="G4" s="66"/>
      <c r="H4" s="64"/>
      <c r="I4" s="64"/>
      <c r="J4" s="65">
        <f t="shared" ref="J4:J28" si="0">I4-H4</f>
        <v>0</v>
      </c>
      <c r="K4" s="62">
        <f t="shared" ref="K4:K28" si="1">E4*G4</f>
        <v>0</v>
      </c>
    </row>
    <row r="5" spans="1:11" x14ac:dyDescent="0.55000000000000004">
      <c r="A5" s="62">
        <f t="shared" ref="A5:A37" si="2">A4+1</f>
        <v>4</v>
      </c>
      <c r="B5" s="11" t="s">
        <v>113</v>
      </c>
      <c r="C5" s="6" t="s">
        <v>116</v>
      </c>
      <c r="D5" s="7" t="s">
        <v>17</v>
      </c>
      <c r="G5" s="66"/>
      <c r="H5" s="64"/>
      <c r="I5" s="64"/>
      <c r="J5" s="65">
        <f t="shared" si="0"/>
        <v>0</v>
      </c>
      <c r="K5" s="62">
        <f t="shared" si="1"/>
        <v>0</v>
      </c>
    </row>
    <row r="6" spans="1:11" x14ac:dyDescent="0.55000000000000004">
      <c r="A6" s="62">
        <f t="shared" si="2"/>
        <v>5</v>
      </c>
      <c r="B6" s="11" t="s">
        <v>117</v>
      </c>
      <c r="C6" s="6" t="s">
        <v>118</v>
      </c>
      <c r="D6" s="7" t="s">
        <v>17</v>
      </c>
      <c r="G6" s="66"/>
      <c r="H6" s="64"/>
      <c r="I6" s="64"/>
      <c r="J6" s="65">
        <f t="shared" si="0"/>
        <v>0</v>
      </c>
      <c r="K6" s="62">
        <f>E6*G6</f>
        <v>0</v>
      </c>
    </row>
    <row r="7" spans="1:11" x14ac:dyDescent="0.55000000000000004">
      <c r="A7" s="62">
        <f t="shared" si="2"/>
        <v>6</v>
      </c>
      <c r="B7" s="11"/>
      <c r="D7" s="7" t="s">
        <v>17</v>
      </c>
      <c r="G7" s="66"/>
      <c r="H7" s="64"/>
      <c r="I7" s="64"/>
      <c r="J7" s="65">
        <f t="shared" si="0"/>
        <v>0</v>
      </c>
      <c r="K7" s="62">
        <f t="shared" si="1"/>
        <v>0</v>
      </c>
    </row>
    <row r="8" spans="1:11" x14ac:dyDescent="0.55000000000000004">
      <c r="A8" s="62">
        <f t="shared" si="2"/>
        <v>7</v>
      </c>
      <c r="B8" s="11"/>
      <c r="D8" s="7" t="s">
        <v>17</v>
      </c>
      <c r="G8" s="66"/>
      <c r="H8" s="64"/>
      <c r="I8" s="64"/>
      <c r="J8" s="65">
        <f t="shared" si="0"/>
        <v>0</v>
      </c>
      <c r="K8" s="62">
        <f t="shared" si="1"/>
        <v>0</v>
      </c>
    </row>
    <row r="9" spans="1:11" x14ac:dyDescent="0.55000000000000004">
      <c r="A9" s="62">
        <f t="shared" si="2"/>
        <v>8</v>
      </c>
      <c r="B9" s="11"/>
      <c r="D9" s="7" t="s">
        <v>17</v>
      </c>
      <c r="G9" s="66"/>
      <c r="H9" s="64"/>
      <c r="I9" s="64"/>
      <c r="J9" s="65">
        <f t="shared" si="0"/>
        <v>0</v>
      </c>
      <c r="K9" s="62">
        <f t="shared" si="1"/>
        <v>0</v>
      </c>
    </row>
    <row r="10" spans="1:11" x14ac:dyDescent="0.55000000000000004">
      <c r="A10" s="62">
        <f t="shared" si="2"/>
        <v>9</v>
      </c>
      <c r="B10" s="11"/>
      <c r="D10" s="7" t="s">
        <v>17</v>
      </c>
      <c r="G10" s="66"/>
      <c r="H10" s="64"/>
      <c r="I10" s="64"/>
      <c r="J10" s="65">
        <f t="shared" si="0"/>
        <v>0</v>
      </c>
      <c r="K10" s="62">
        <f t="shared" si="1"/>
        <v>0</v>
      </c>
    </row>
    <row r="11" spans="1:11" x14ac:dyDescent="0.55000000000000004">
      <c r="A11" s="62">
        <f t="shared" si="2"/>
        <v>10</v>
      </c>
      <c r="B11" s="11"/>
      <c r="D11" s="7" t="s">
        <v>17</v>
      </c>
      <c r="G11" s="66"/>
      <c r="H11" s="64"/>
      <c r="I11" s="64"/>
      <c r="J11" s="65">
        <f t="shared" si="0"/>
        <v>0</v>
      </c>
      <c r="K11" s="62">
        <f t="shared" si="1"/>
        <v>0</v>
      </c>
    </row>
    <row r="12" spans="1:11" x14ac:dyDescent="0.55000000000000004">
      <c r="A12" s="62">
        <f t="shared" si="2"/>
        <v>11</v>
      </c>
      <c r="B12" s="11"/>
      <c r="D12" s="7" t="s">
        <v>17</v>
      </c>
      <c r="G12" s="66"/>
      <c r="H12" s="64"/>
      <c r="I12" s="64"/>
      <c r="J12" s="65">
        <f t="shared" si="0"/>
        <v>0</v>
      </c>
      <c r="K12" s="62">
        <f t="shared" si="1"/>
        <v>0</v>
      </c>
    </row>
    <row r="13" spans="1:11" x14ac:dyDescent="0.55000000000000004">
      <c r="A13" s="62">
        <f t="shared" si="2"/>
        <v>12</v>
      </c>
      <c r="B13" s="11"/>
      <c r="D13" s="7" t="s">
        <v>17</v>
      </c>
      <c r="G13" s="66"/>
      <c r="H13" s="64"/>
      <c r="I13" s="64"/>
      <c r="J13" s="65">
        <f t="shared" si="0"/>
        <v>0</v>
      </c>
      <c r="K13" s="62">
        <f t="shared" si="1"/>
        <v>0</v>
      </c>
    </row>
    <row r="14" spans="1:11" x14ac:dyDescent="0.55000000000000004">
      <c r="A14" s="62">
        <f t="shared" si="2"/>
        <v>13</v>
      </c>
      <c r="B14" s="11"/>
      <c r="D14" s="7" t="s">
        <v>17</v>
      </c>
      <c r="G14" s="66"/>
      <c r="H14" s="64"/>
      <c r="I14" s="64"/>
      <c r="J14" s="65">
        <f t="shared" si="0"/>
        <v>0</v>
      </c>
      <c r="K14" s="62">
        <f t="shared" si="1"/>
        <v>0</v>
      </c>
    </row>
    <row r="15" spans="1:11" x14ac:dyDescent="0.55000000000000004">
      <c r="A15" s="62">
        <f t="shared" si="2"/>
        <v>14</v>
      </c>
      <c r="B15" s="11"/>
      <c r="D15" s="7" t="s">
        <v>18</v>
      </c>
      <c r="G15" s="63"/>
      <c r="H15" s="64"/>
      <c r="I15" s="64"/>
      <c r="J15" s="65">
        <f t="shared" si="0"/>
        <v>0</v>
      </c>
      <c r="K15" s="62">
        <f t="shared" si="1"/>
        <v>0</v>
      </c>
    </row>
    <row r="16" spans="1:11" x14ac:dyDescent="0.55000000000000004">
      <c r="A16" s="62">
        <f t="shared" si="2"/>
        <v>15</v>
      </c>
      <c r="B16" s="11"/>
      <c r="D16" s="7" t="s">
        <v>18</v>
      </c>
      <c r="G16" s="63"/>
      <c r="H16" s="64"/>
      <c r="I16" s="64"/>
      <c r="J16" s="65">
        <f t="shared" si="0"/>
        <v>0</v>
      </c>
      <c r="K16" s="62">
        <f t="shared" si="1"/>
        <v>0</v>
      </c>
    </row>
    <row r="17" spans="1:11" x14ac:dyDescent="0.55000000000000004">
      <c r="A17" s="62">
        <f t="shared" si="2"/>
        <v>16</v>
      </c>
      <c r="B17" s="11"/>
      <c r="D17" s="7" t="s">
        <v>18</v>
      </c>
      <c r="G17" s="63"/>
      <c r="H17" s="64"/>
      <c r="I17" s="64"/>
      <c r="J17" s="65">
        <f t="shared" si="0"/>
        <v>0</v>
      </c>
      <c r="K17" s="62">
        <f t="shared" si="1"/>
        <v>0</v>
      </c>
    </row>
    <row r="18" spans="1:11" x14ac:dyDescent="0.55000000000000004">
      <c r="A18" s="62">
        <f t="shared" si="2"/>
        <v>17</v>
      </c>
      <c r="B18" s="11"/>
      <c r="D18" s="7" t="s">
        <v>18</v>
      </c>
      <c r="G18" s="63"/>
      <c r="H18" s="64"/>
      <c r="I18" s="64"/>
      <c r="J18" s="65">
        <f t="shared" si="0"/>
        <v>0</v>
      </c>
      <c r="K18" s="62">
        <f t="shared" si="1"/>
        <v>0</v>
      </c>
    </row>
    <row r="19" spans="1:11" x14ac:dyDescent="0.55000000000000004">
      <c r="A19" s="62">
        <f t="shared" si="2"/>
        <v>18</v>
      </c>
      <c r="B19" s="11"/>
      <c r="D19" s="7" t="s">
        <v>18</v>
      </c>
      <c r="G19" s="63"/>
      <c r="H19" s="64"/>
      <c r="I19" s="64"/>
      <c r="J19" s="65">
        <f t="shared" si="0"/>
        <v>0</v>
      </c>
      <c r="K19" s="62">
        <f t="shared" si="1"/>
        <v>0</v>
      </c>
    </row>
    <row r="20" spans="1:11" x14ac:dyDescent="0.55000000000000004">
      <c r="A20" s="62">
        <f t="shared" si="2"/>
        <v>19</v>
      </c>
      <c r="B20" s="11"/>
      <c r="D20" s="7" t="s">
        <v>18</v>
      </c>
      <c r="G20" s="63"/>
      <c r="H20" s="64"/>
      <c r="I20" s="64"/>
      <c r="J20" s="65">
        <f t="shared" si="0"/>
        <v>0</v>
      </c>
      <c r="K20" s="62">
        <f t="shared" si="1"/>
        <v>0</v>
      </c>
    </row>
    <row r="21" spans="1:11" x14ac:dyDescent="0.55000000000000004">
      <c r="A21" s="62">
        <f t="shared" si="2"/>
        <v>20</v>
      </c>
      <c r="B21" s="11"/>
      <c r="D21" s="7" t="s">
        <v>18</v>
      </c>
      <c r="G21" s="63"/>
      <c r="H21" s="64"/>
      <c r="I21" s="64"/>
      <c r="J21" s="65">
        <f t="shared" si="0"/>
        <v>0</v>
      </c>
      <c r="K21" s="62">
        <f t="shared" si="1"/>
        <v>0</v>
      </c>
    </row>
    <row r="22" spans="1:11" x14ac:dyDescent="0.55000000000000004">
      <c r="A22" s="62">
        <f t="shared" si="2"/>
        <v>21</v>
      </c>
      <c r="B22" s="11"/>
      <c r="D22" s="7" t="s">
        <v>18</v>
      </c>
      <c r="G22" s="63"/>
      <c r="H22" s="64"/>
      <c r="I22" s="64"/>
      <c r="J22" s="65">
        <f t="shared" si="0"/>
        <v>0</v>
      </c>
      <c r="K22" s="62">
        <f t="shared" si="1"/>
        <v>0</v>
      </c>
    </row>
    <row r="23" spans="1:11" x14ac:dyDescent="0.55000000000000004">
      <c r="A23" s="62">
        <f t="shared" si="2"/>
        <v>22</v>
      </c>
      <c r="B23" s="11"/>
      <c r="D23" s="7" t="s">
        <v>18</v>
      </c>
      <c r="G23" s="63"/>
      <c r="H23" s="64"/>
      <c r="I23" s="64"/>
      <c r="J23" s="65">
        <f t="shared" si="0"/>
        <v>0</v>
      </c>
      <c r="K23" s="62">
        <f t="shared" si="1"/>
        <v>0</v>
      </c>
    </row>
    <row r="24" spans="1:11" x14ac:dyDescent="0.55000000000000004">
      <c r="A24" s="62">
        <f t="shared" si="2"/>
        <v>23</v>
      </c>
      <c r="B24" s="11"/>
      <c r="D24" s="7" t="s">
        <v>18</v>
      </c>
      <c r="G24" s="63"/>
      <c r="H24" s="64"/>
      <c r="I24" s="64"/>
      <c r="J24" s="65">
        <f t="shared" si="0"/>
        <v>0</v>
      </c>
      <c r="K24" s="62">
        <f t="shared" si="1"/>
        <v>0</v>
      </c>
    </row>
    <row r="25" spans="1:11" x14ac:dyDescent="0.55000000000000004">
      <c r="A25" s="62">
        <f t="shared" si="2"/>
        <v>24</v>
      </c>
      <c r="B25" s="11"/>
      <c r="D25" s="7" t="s">
        <v>18</v>
      </c>
      <c r="G25" s="63"/>
      <c r="H25" s="64"/>
      <c r="I25" s="64"/>
      <c r="J25" s="65">
        <f t="shared" si="0"/>
        <v>0</v>
      </c>
      <c r="K25" s="62">
        <f t="shared" si="1"/>
        <v>0</v>
      </c>
    </row>
    <row r="26" spans="1:11" x14ac:dyDescent="0.55000000000000004">
      <c r="A26" s="62">
        <f t="shared" si="2"/>
        <v>25</v>
      </c>
      <c r="B26" s="11"/>
      <c r="D26" s="7" t="s">
        <v>18</v>
      </c>
      <c r="G26" s="63"/>
      <c r="H26" s="64"/>
      <c r="I26" s="64"/>
      <c r="J26" s="65">
        <f t="shared" si="0"/>
        <v>0</v>
      </c>
      <c r="K26" s="62">
        <f t="shared" si="1"/>
        <v>0</v>
      </c>
    </row>
    <row r="27" spans="1:11" x14ac:dyDescent="0.55000000000000004">
      <c r="A27" s="62">
        <f t="shared" si="2"/>
        <v>26</v>
      </c>
      <c r="B27" s="11"/>
      <c r="D27" s="7" t="s">
        <v>18</v>
      </c>
      <c r="G27" s="63"/>
      <c r="H27" s="64"/>
      <c r="I27" s="64"/>
      <c r="J27" s="65">
        <f t="shared" si="0"/>
        <v>0</v>
      </c>
      <c r="K27" s="62">
        <f t="shared" si="1"/>
        <v>0</v>
      </c>
    </row>
    <row r="28" spans="1:11" x14ac:dyDescent="0.55000000000000004">
      <c r="A28" s="62">
        <f t="shared" si="2"/>
        <v>27</v>
      </c>
      <c r="B28" s="11"/>
      <c r="D28" s="7" t="s">
        <v>19</v>
      </c>
      <c r="G28" s="63"/>
      <c r="H28" s="64"/>
      <c r="I28" s="64"/>
      <c r="J28" s="65">
        <f t="shared" si="0"/>
        <v>0</v>
      </c>
      <c r="K28" s="62">
        <f t="shared" si="1"/>
        <v>0</v>
      </c>
    </row>
    <row r="29" spans="1:11" x14ac:dyDescent="0.55000000000000004">
      <c r="A29" s="62">
        <f t="shared" si="2"/>
        <v>28</v>
      </c>
      <c r="B29" s="11"/>
      <c r="D29" s="7" t="s">
        <v>17</v>
      </c>
      <c r="G29" s="66"/>
      <c r="H29" s="64"/>
      <c r="I29" s="64"/>
      <c r="J29" s="65">
        <f t="shared" ref="J29:J37" si="3">I29-H29</f>
        <v>0</v>
      </c>
      <c r="K29" s="62">
        <f t="shared" ref="K29:K37" si="4">E29*G29</f>
        <v>0</v>
      </c>
    </row>
    <row r="30" spans="1:11" x14ac:dyDescent="0.55000000000000004">
      <c r="A30" s="62">
        <f t="shared" si="2"/>
        <v>29</v>
      </c>
      <c r="B30" s="11"/>
      <c r="D30" s="7" t="s">
        <v>17</v>
      </c>
      <c r="G30" s="66"/>
      <c r="H30" s="64"/>
      <c r="I30" s="64"/>
      <c r="J30" s="65">
        <f t="shared" si="3"/>
        <v>0</v>
      </c>
      <c r="K30" s="62">
        <f t="shared" si="4"/>
        <v>0</v>
      </c>
    </row>
    <row r="31" spans="1:11" x14ac:dyDescent="0.55000000000000004">
      <c r="A31" s="62">
        <f t="shared" si="2"/>
        <v>30</v>
      </c>
      <c r="B31" s="11"/>
      <c r="D31" s="7" t="s">
        <v>17</v>
      </c>
      <c r="G31" s="66"/>
      <c r="H31" s="64"/>
      <c r="I31" s="64"/>
      <c r="J31" s="65">
        <f t="shared" si="3"/>
        <v>0</v>
      </c>
      <c r="K31" s="62">
        <f t="shared" si="4"/>
        <v>0</v>
      </c>
    </row>
    <row r="32" spans="1:11" x14ac:dyDescent="0.55000000000000004">
      <c r="A32" s="62">
        <f t="shared" si="2"/>
        <v>31</v>
      </c>
      <c r="B32" s="11"/>
      <c r="D32" s="7" t="s">
        <v>17</v>
      </c>
      <c r="G32" s="66"/>
      <c r="H32" s="64"/>
      <c r="I32" s="64"/>
      <c r="J32" s="65">
        <f t="shared" si="3"/>
        <v>0</v>
      </c>
      <c r="K32" s="62">
        <f t="shared" si="4"/>
        <v>0</v>
      </c>
    </row>
    <row r="33" spans="1:11" x14ac:dyDescent="0.55000000000000004">
      <c r="A33" s="62">
        <f t="shared" si="2"/>
        <v>32</v>
      </c>
      <c r="B33" s="11"/>
      <c r="D33" s="7" t="s">
        <v>18</v>
      </c>
      <c r="G33" s="63"/>
      <c r="H33" s="64"/>
      <c r="I33" s="64"/>
      <c r="J33" s="65">
        <f t="shared" si="3"/>
        <v>0</v>
      </c>
      <c r="K33" s="62">
        <f t="shared" si="4"/>
        <v>0</v>
      </c>
    </row>
    <row r="34" spans="1:11" x14ac:dyDescent="0.55000000000000004">
      <c r="A34" s="62">
        <f t="shared" si="2"/>
        <v>33</v>
      </c>
      <c r="B34" s="11"/>
      <c r="D34" s="7" t="s">
        <v>18</v>
      </c>
      <c r="G34" s="63"/>
      <c r="H34" s="64"/>
      <c r="I34" s="64"/>
      <c r="J34" s="65">
        <f t="shared" si="3"/>
        <v>0</v>
      </c>
      <c r="K34" s="62">
        <f t="shared" si="4"/>
        <v>0</v>
      </c>
    </row>
    <row r="35" spans="1:11" x14ac:dyDescent="0.55000000000000004">
      <c r="A35" s="62">
        <f t="shared" si="2"/>
        <v>34</v>
      </c>
      <c r="B35" s="11"/>
      <c r="D35" s="7" t="s">
        <v>18</v>
      </c>
      <c r="G35" s="63"/>
      <c r="H35" s="64"/>
      <c r="I35" s="64"/>
      <c r="J35" s="65">
        <f t="shared" ref="J35" si="5">I35-H35</f>
        <v>0</v>
      </c>
      <c r="K35" s="62">
        <f t="shared" ref="K35" si="6">E35*G35</f>
        <v>0</v>
      </c>
    </row>
    <row r="36" spans="1:11" x14ac:dyDescent="0.55000000000000004">
      <c r="A36" s="62">
        <f t="shared" si="2"/>
        <v>35</v>
      </c>
      <c r="B36" s="11"/>
      <c r="D36" s="7" t="s">
        <v>18</v>
      </c>
      <c r="G36" s="63"/>
      <c r="H36" s="64"/>
      <c r="I36" s="64"/>
      <c r="J36" s="65">
        <f t="shared" si="3"/>
        <v>0</v>
      </c>
      <c r="K36" s="62">
        <f t="shared" si="4"/>
        <v>0</v>
      </c>
    </row>
    <row r="37" spans="1:11" x14ac:dyDescent="0.55000000000000004">
      <c r="A37" s="62">
        <f t="shared" si="2"/>
        <v>36</v>
      </c>
      <c r="B37" s="11"/>
      <c r="D37" s="7" t="s">
        <v>18</v>
      </c>
      <c r="G37" s="63"/>
      <c r="H37" s="64"/>
      <c r="I37" s="64"/>
      <c r="J37" s="65">
        <f t="shared" si="3"/>
        <v>0</v>
      </c>
      <c r="K37" s="62">
        <f t="shared" si="4"/>
        <v>0</v>
      </c>
    </row>
    <row r="38" spans="1:11" x14ac:dyDescent="0.55000000000000004">
      <c r="E38" s="8"/>
      <c r="G38" s="67"/>
      <c r="K38" s="8">
        <f>SUM(K3:K37)</f>
        <v>0</v>
      </c>
    </row>
  </sheetData>
  <autoFilter ref="B1:K38" xr:uid="{438163B4-B02B-40FC-859A-E239180429F7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DDFFB-B5BC-4AFE-80CB-101F3BBEAC26}">
  <dimension ref="B1:S36"/>
  <sheetViews>
    <sheetView showGridLines="0" zoomScale="170" zoomScaleNormal="170" workbookViewId="0">
      <selection activeCell="D5" sqref="D5"/>
    </sheetView>
  </sheetViews>
  <sheetFormatPr defaultColWidth="8.6640625" defaultRowHeight="15.6" x14ac:dyDescent="0.55000000000000004"/>
  <cols>
    <col min="1" max="1" width="8.6640625" style="3"/>
    <col min="2" max="2" width="19.44140625" style="3" bestFit="1" customWidth="1"/>
    <col min="3" max="3" width="21.6640625" style="3" bestFit="1" customWidth="1"/>
    <col min="4" max="4" width="16" style="3" bestFit="1" customWidth="1"/>
    <col min="5" max="5" width="16.6640625" style="3" bestFit="1" customWidth="1"/>
    <col min="6" max="6" width="16.5546875" style="3" bestFit="1" customWidth="1"/>
    <col min="7" max="9" width="15.33203125" style="3" bestFit="1" customWidth="1"/>
    <col min="10" max="12" width="16" style="3" bestFit="1" customWidth="1"/>
    <col min="13" max="13" width="8.6640625" style="3"/>
    <col min="14" max="14" width="8.44140625" style="3" bestFit="1" customWidth="1"/>
    <col min="15" max="15" width="7.33203125" style="3" bestFit="1" customWidth="1"/>
    <col min="16" max="16" width="9.6640625" style="3" bestFit="1" customWidth="1"/>
    <col min="17" max="17" width="6.6640625" style="3" bestFit="1" customWidth="1"/>
    <col min="18" max="18" width="21.5546875" style="3" bestFit="1" customWidth="1"/>
    <col min="19" max="19" width="9.6640625" style="3" bestFit="1" customWidth="1"/>
    <col min="20" max="20" width="8.6640625" style="3"/>
    <col min="21" max="21" width="21.5546875" style="3" bestFit="1" customWidth="1"/>
    <col min="22" max="16384" width="8.6640625" style="3"/>
  </cols>
  <sheetData>
    <row r="1" spans="2:19" ht="16.2" thickBot="1" x14ac:dyDescent="0.6"/>
    <row r="2" spans="2:19" ht="16.2" thickBot="1" x14ac:dyDescent="0.6">
      <c r="B2" s="58">
        <v>46113</v>
      </c>
      <c r="D2" s="94" t="s">
        <v>17</v>
      </c>
      <c r="E2" s="95"/>
      <c r="F2" s="94" t="s">
        <v>18</v>
      </c>
      <c r="G2" s="96"/>
      <c r="H2" s="96"/>
      <c r="I2" s="96"/>
      <c r="J2" s="95"/>
      <c r="K2" s="60" t="s">
        <v>19</v>
      </c>
    </row>
    <row r="3" spans="2:19" x14ac:dyDescent="0.55000000000000004">
      <c r="B3" s="12"/>
      <c r="C3" s="12"/>
      <c r="D3" s="13">
        <v>20</v>
      </c>
      <c r="E3" s="13">
        <v>20</v>
      </c>
      <c r="F3" s="13">
        <v>20</v>
      </c>
      <c r="G3" s="13">
        <v>20</v>
      </c>
      <c r="H3" s="13">
        <v>20</v>
      </c>
      <c r="I3" s="13">
        <v>20</v>
      </c>
      <c r="J3" s="13">
        <v>20</v>
      </c>
      <c r="K3" s="13">
        <v>20</v>
      </c>
      <c r="L3" s="14" t="s">
        <v>36</v>
      </c>
      <c r="M3" s="13"/>
      <c r="N3" s="12"/>
      <c r="O3" s="12"/>
      <c r="P3" s="12"/>
      <c r="Q3" s="12"/>
      <c r="R3" s="12"/>
      <c r="S3" s="12"/>
    </row>
    <row r="4" spans="2:19" x14ac:dyDescent="0.55000000000000004">
      <c r="B4" s="15" t="s">
        <v>37</v>
      </c>
      <c r="C4" s="15" t="s">
        <v>2</v>
      </c>
      <c r="D4" s="16" t="s">
        <v>48</v>
      </c>
      <c r="E4" s="16" t="s">
        <v>49</v>
      </c>
      <c r="F4" s="16" t="s">
        <v>50</v>
      </c>
      <c r="G4" s="16" t="s">
        <v>51</v>
      </c>
      <c r="H4" s="16" t="s">
        <v>52</v>
      </c>
      <c r="I4" s="16" t="s">
        <v>53</v>
      </c>
      <c r="J4" s="16" t="s">
        <v>54</v>
      </c>
      <c r="K4" s="16" t="s">
        <v>55</v>
      </c>
      <c r="L4" s="17"/>
      <c r="M4" s="17"/>
      <c r="N4" s="17"/>
      <c r="O4" s="17"/>
      <c r="P4" s="17"/>
      <c r="Q4" s="17"/>
      <c r="R4" s="17"/>
      <c r="S4" s="17"/>
    </row>
    <row r="5" spans="2:19" x14ac:dyDescent="0.55000000000000004">
      <c r="B5" s="18" t="s">
        <v>56</v>
      </c>
      <c r="C5" s="18" t="s">
        <v>33</v>
      </c>
      <c r="D5" s="19">
        <v>0.5</v>
      </c>
      <c r="E5" s="19">
        <v>0.5</v>
      </c>
      <c r="F5" s="19">
        <v>0.2</v>
      </c>
      <c r="G5" s="19">
        <v>0.2</v>
      </c>
      <c r="H5" s="19">
        <v>0.2</v>
      </c>
      <c r="I5" s="19">
        <v>0.2</v>
      </c>
      <c r="J5" s="19">
        <v>0.2</v>
      </c>
      <c r="K5" s="19">
        <v>0.1</v>
      </c>
      <c r="L5" s="68">
        <f>AVERAGE(D5:K5)</f>
        <v>0.26249999999999996</v>
      </c>
      <c r="M5" s="20"/>
      <c r="N5" s="12"/>
      <c r="O5" s="12"/>
      <c r="P5" s="12"/>
      <c r="Q5" s="12"/>
      <c r="R5" s="12"/>
      <c r="S5" s="12"/>
    </row>
    <row r="6" spans="2:19" x14ac:dyDescent="0.55000000000000004">
      <c r="B6" s="18" t="s">
        <v>38</v>
      </c>
      <c r="C6" s="18" t="s">
        <v>33</v>
      </c>
      <c r="D6" s="19">
        <v>0.5</v>
      </c>
      <c r="E6" s="19">
        <v>0.5</v>
      </c>
      <c r="F6" s="19">
        <v>0.25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68">
        <f>AVERAGE(D6:K6)</f>
        <v>0.15625</v>
      </c>
      <c r="M6" s="20"/>
      <c r="N6" s="12"/>
      <c r="O6" s="12"/>
      <c r="P6" s="12"/>
      <c r="Q6" s="12"/>
      <c r="R6" s="12"/>
      <c r="S6" s="12"/>
    </row>
    <row r="7" spans="2:19" x14ac:dyDescent="0.55000000000000004">
      <c r="B7" s="18" t="s">
        <v>39</v>
      </c>
      <c r="C7" s="18" t="s">
        <v>33</v>
      </c>
      <c r="D7" s="19">
        <v>0.5</v>
      </c>
      <c r="E7" s="19">
        <v>0.5</v>
      </c>
      <c r="F7" s="19">
        <v>0.25</v>
      </c>
      <c r="G7" s="19">
        <v>0.1</v>
      </c>
      <c r="H7" s="19">
        <v>0.1</v>
      </c>
      <c r="I7" s="19">
        <v>0.1</v>
      </c>
      <c r="J7" s="19">
        <v>0.1</v>
      </c>
      <c r="K7" s="19">
        <v>0</v>
      </c>
      <c r="L7" s="68">
        <f>AVERAGE(D7:K7)</f>
        <v>0.20625000000000004</v>
      </c>
      <c r="M7" s="20"/>
      <c r="N7" s="12"/>
      <c r="O7" s="12"/>
      <c r="P7" s="12"/>
      <c r="Q7" s="12"/>
      <c r="R7" s="12"/>
      <c r="S7" s="12"/>
    </row>
    <row r="8" spans="2:19" x14ac:dyDescent="0.55000000000000004">
      <c r="B8" s="18" t="s">
        <v>40</v>
      </c>
      <c r="C8" s="18" t="s">
        <v>30</v>
      </c>
      <c r="D8" s="19">
        <v>0</v>
      </c>
      <c r="E8" s="19">
        <v>0</v>
      </c>
      <c r="F8" s="19">
        <v>0</v>
      </c>
      <c r="G8" s="19">
        <v>0</v>
      </c>
      <c r="H8" s="19">
        <v>0</v>
      </c>
      <c r="I8" s="19">
        <v>0</v>
      </c>
      <c r="J8" s="19">
        <v>0</v>
      </c>
      <c r="K8" s="19">
        <v>0</v>
      </c>
      <c r="L8" s="68">
        <f>AVERAGE(D8:K8)</f>
        <v>0</v>
      </c>
      <c r="M8" s="20"/>
      <c r="N8" s="12"/>
      <c r="O8" s="12"/>
      <c r="P8" s="12"/>
      <c r="Q8" s="12"/>
      <c r="R8" s="12"/>
      <c r="S8" s="12"/>
    </row>
    <row r="9" spans="2:19" x14ac:dyDescent="0.55000000000000004">
      <c r="B9" s="92" t="s">
        <v>41</v>
      </c>
      <c r="C9" s="92"/>
      <c r="D9" s="93">
        <f>SUM(D5:D8)</f>
        <v>1.5</v>
      </c>
      <c r="E9" s="93">
        <f t="shared" ref="E9:K9" si="0">SUM(E5:E8)</f>
        <v>1.5</v>
      </c>
      <c r="F9" s="93">
        <f t="shared" si="0"/>
        <v>0.7</v>
      </c>
      <c r="G9" s="93">
        <f t="shared" si="0"/>
        <v>0.30000000000000004</v>
      </c>
      <c r="H9" s="93">
        <f t="shared" si="0"/>
        <v>0.30000000000000004</v>
      </c>
      <c r="I9" s="93">
        <f t="shared" si="0"/>
        <v>0.30000000000000004</v>
      </c>
      <c r="J9" s="93">
        <f t="shared" si="0"/>
        <v>0.30000000000000004</v>
      </c>
      <c r="K9" s="93">
        <f t="shared" si="0"/>
        <v>0.1</v>
      </c>
      <c r="L9" s="17"/>
      <c r="M9" s="17"/>
      <c r="N9" s="17"/>
      <c r="O9" s="17"/>
      <c r="P9" s="17"/>
      <c r="Q9" s="17"/>
      <c r="R9" s="17"/>
      <c r="S9" s="17"/>
    </row>
    <row r="10" spans="2:19" x14ac:dyDescent="0.55000000000000004">
      <c r="B10" s="22"/>
      <c r="C10" s="22"/>
      <c r="D10" s="23"/>
      <c r="E10" s="23"/>
      <c r="F10" s="23"/>
      <c r="G10" s="23"/>
      <c r="H10" s="23"/>
      <c r="I10" s="23"/>
      <c r="J10" s="23"/>
      <c r="K10" s="23"/>
      <c r="L10" s="12"/>
      <c r="M10" s="12"/>
      <c r="N10" s="12"/>
      <c r="O10" s="12"/>
      <c r="P10" s="12"/>
      <c r="Q10" s="12"/>
      <c r="R10" s="12"/>
      <c r="S10" s="12"/>
    </row>
    <row r="11" spans="2:19" x14ac:dyDescent="0.55000000000000004">
      <c r="B11" s="15" t="s">
        <v>37</v>
      </c>
      <c r="C11" s="15" t="s">
        <v>2</v>
      </c>
      <c r="D11" s="16" t="s">
        <v>48</v>
      </c>
      <c r="E11" s="16" t="s">
        <v>49</v>
      </c>
      <c r="F11" s="16" t="s">
        <v>50</v>
      </c>
      <c r="G11" s="16" t="s">
        <v>51</v>
      </c>
      <c r="H11" s="16" t="s">
        <v>52</v>
      </c>
      <c r="I11" s="16" t="s">
        <v>53</v>
      </c>
      <c r="J11" s="16" t="s">
        <v>54</v>
      </c>
      <c r="K11" s="16" t="s">
        <v>55</v>
      </c>
      <c r="L11" s="14" t="s">
        <v>41</v>
      </c>
      <c r="M11" s="14"/>
      <c r="N11" s="14" t="s">
        <v>42</v>
      </c>
      <c r="O11" s="21" t="s">
        <v>43</v>
      </c>
      <c r="P11" s="14" t="s">
        <v>44</v>
      </c>
      <c r="Q11" s="14" t="s">
        <v>45</v>
      </c>
      <c r="R11" s="14" t="s">
        <v>57</v>
      </c>
      <c r="S11" s="14" t="s">
        <v>58</v>
      </c>
    </row>
    <row r="12" spans="2:19" x14ac:dyDescent="0.55000000000000004">
      <c r="B12" s="18" t="s">
        <v>56</v>
      </c>
      <c r="C12" s="18" t="s">
        <v>33</v>
      </c>
      <c r="D12" s="69">
        <f>D5*D3</f>
        <v>10</v>
      </c>
      <c r="E12" s="69">
        <f t="shared" ref="E12:K12" si="1">E5*E3</f>
        <v>10</v>
      </c>
      <c r="F12" s="69">
        <f t="shared" si="1"/>
        <v>4</v>
      </c>
      <c r="G12" s="69">
        <f t="shared" si="1"/>
        <v>4</v>
      </c>
      <c r="H12" s="69">
        <f t="shared" si="1"/>
        <v>4</v>
      </c>
      <c r="I12" s="69">
        <f t="shared" si="1"/>
        <v>4</v>
      </c>
      <c r="J12" s="69">
        <f t="shared" si="1"/>
        <v>4</v>
      </c>
      <c r="K12" s="69">
        <f t="shared" si="1"/>
        <v>2</v>
      </c>
      <c r="L12" s="69">
        <f>SUM(D12:K12)</f>
        <v>42</v>
      </c>
      <c r="M12" s="12"/>
      <c r="N12" s="71">
        <f>O12/8</f>
        <v>37.5</v>
      </c>
      <c r="O12" s="25">
        <v>300</v>
      </c>
      <c r="P12" s="72">
        <f>O12*L12</f>
        <v>12600</v>
      </c>
      <c r="Q12" s="74">
        <f>L12*8</f>
        <v>336</v>
      </c>
      <c r="R12" s="75">
        <f t="shared" ref="R12:R15" si="2">Q12/8</f>
        <v>42</v>
      </c>
      <c r="S12" s="72">
        <f>R12*O12</f>
        <v>12600</v>
      </c>
    </row>
    <row r="13" spans="2:19" x14ac:dyDescent="0.55000000000000004">
      <c r="B13" s="18" t="s">
        <v>38</v>
      </c>
      <c r="C13" s="18" t="s">
        <v>33</v>
      </c>
      <c r="D13" s="69">
        <f t="shared" ref="D13:K13" si="3">D6*D3</f>
        <v>10</v>
      </c>
      <c r="E13" s="69">
        <f t="shared" si="3"/>
        <v>10</v>
      </c>
      <c r="F13" s="69">
        <f t="shared" si="3"/>
        <v>5</v>
      </c>
      <c r="G13" s="69">
        <f t="shared" si="3"/>
        <v>0</v>
      </c>
      <c r="H13" s="69">
        <f t="shared" si="3"/>
        <v>0</v>
      </c>
      <c r="I13" s="69">
        <f t="shared" si="3"/>
        <v>0</v>
      </c>
      <c r="J13" s="69">
        <f t="shared" si="3"/>
        <v>0</v>
      </c>
      <c r="K13" s="69">
        <f t="shared" si="3"/>
        <v>0</v>
      </c>
      <c r="L13" s="69">
        <f>SUM(D13:K13)</f>
        <v>25</v>
      </c>
      <c r="M13" s="12"/>
      <c r="N13" s="71">
        <f t="shared" ref="N13:N15" si="4">O13/8</f>
        <v>37.5</v>
      </c>
      <c r="O13" s="25">
        <v>300</v>
      </c>
      <c r="P13" s="72">
        <f>O13*L13</f>
        <v>7500</v>
      </c>
      <c r="Q13" s="74">
        <f>L13*8</f>
        <v>200</v>
      </c>
      <c r="R13" s="75">
        <f t="shared" si="2"/>
        <v>25</v>
      </c>
      <c r="S13" s="72">
        <f t="shared" ref="S13:S15" si="5">R13*O13</f>
        <v>7500</v>
      </c>
    </row>
    <row r="14" spans="2:19" x14ac:dyDescent="0.55000000000000004">
      <c r="B14" s="18" t="s">
        <v>39</v>
      </c>
      <c r="C14" s="18" t="s">
        <v>33</v>
      </c>
      <c r="D14" s="69">
        <f t="shared" ref="D14:K14" si="6">D7*D$3</f>
        <v>10</v>
      </c>
      <c r="E14" s="69">
        <f t="shared" si="6"/>
        <v>10</v>
      </c>
      <c r="F14" s="69">
        <f t="shared" si="6"/>
        <v>5</v>
      </c>
      <c r="G14" s="69">
        <f t="shared" si="6"/>
        <v>2</v>
      </c>
      <c r="H14" s="69">
        <f t="shared" si="6"/>
        <v>2</v>
      </c>
      <c r="I14" s="69">
        <f t="shared" si="6"/>
        <v>2</v>
      </c>
      <c r="J14" s="69">
        <f t="shared" si="6"/>
        <v>2</v>
      </c>
      <c r="K14" s="69">
        <f t="shared" si="6"/>
        <v>0</v>
      </c>
      <c r="L14" s="69">
        <f>SUM(D14:K14)</f>
        <v>33</v>
      </c>
      <c r="M14" s="12"/>
      <c r="N14" s="71">
        <f t="shared" si="4"/>
        <v>37.5</v>
      </c>
      <c r="O14" s="25">
        <v>300</v>
      </c>
      <c r="P14" s="72">
        <f>O14*L14</f>
        <v>9900</v>
      </c>
      <c r="Q14" s="74">
        <f>L14*8</f>
        <v>264</v>
      </c>
      <c r="R14" s="75">
        <f t="shared" si="2"/>
        <v>33</v>
      </c>
      <c r="S14" s="72">
        <f t="shared" si="5"/>
        <v>9900</v>
      </c>
    </row>
    <row r="15" spans="2:19" x14ac:dyDescent="0.55000000000000004">
      <c r="B15" s="18" t="s">
        <v>40</v>
      </c>
      <c r="C15" s="18" t="s">
        <v>30</v>
      </c>
      <c r="D15" s="69">
        <v>34</v>
      </c>
      <c r="E15" s="69">
        <v>34</v>
      </c>
      <c r="F15" s="69">
        <v>18.5</v>
      </c>
      <c r="G15" s="69">
        <v>18.5</v>
      </c>
      <c r="H15" s="69">
        <v>18.5</v>
      </c>
      <c r="I15" s="69">
        <v>18.5</v>
      </c>
      <c r="J15" s="69">
        <v>18.5</v>
      </c>
      <c r="K15" s="69">
        <v>18.5</v>
      </c>
      <c r="L15" s="69">
        <f>SUM(D15:K15)</f>
        <v>179</v>
      </c>
      <c r="M15" s="12"/>
      <c r="N15" s="71">
        <f t="shared" si="4"/>
        <v>38.75</v>
      </c>
      <c r="O15" s="25">
        <v>310</v>
      </c>
      <c r="P15" s="72">
        <f>O15*L15</f>
        <v>55490</v>
      </c>
      <c r="Q15" s="74">
        <f>L15*8</f>
        <v>1432</v>
      </c>
      <c r="R15" s="75">
        <f t="shared" si="2"/>
        <v>179</v>
      </c>
      <c r="S15" s="72">
        <f t="shared" si="5"/>
        <v>55490</v>
      </c>
    </row>
    <row r="16" spans="2:19" x14ac:dyDescent="0.55000000000000004">
      <c r="B16" s="21" t="s">
        <v>41</v>
      </c>
      <c r="C16" s="21"/>
      <c r="D16" s="70">
        <f t="shared" ref="D16:L16" si="7">SUM(D12:D15)</f>
        <v>64</v>
      </c>
      <c r="E16" s="70">
        <f t="shared" si="7"/>
        <v>64</v>
      </c>
      <c r="F16" s="70">
        <f t="shared" si="7"/>
        <v>32.5</v>
      </c>
      <c r="G16" s="70">
        <f t="shared" si="7"/>
        <v>24.5</v>
      </c>
      <c r="H16" s="70">
        <f t="shared" si="7"/>
        <v>24.5</v>
      </c>
      <c r="I16" s="70">
        <f t="shared" si="7"/>
        <v>24.5</v>
      </c>
      <c r="J16" s="70">
        <f t="shared" si="7"/>
        <v>24.5</v>
      </c>
      <c r="K16" s="70">
        <f t="shared" si="7"/>
        <v>20.5</v>
      </c>
      <c r="L16" s="70">
        <f t="shared" si="7"/>
        <v>279</v>
      </c>
      <c r="M16" s="26"/>
      <c r="N16" s="17"/>
      <c r="O16" s="17"/>
      <c r="P16" s="73">
        <f>SUM(P12:P15)</f>
        <v>85490</v>
      </c>
      <c r="Q16" s="73">
        <f>SUM(Q12:Q15)</f>
        <v>2232</v>
      </c>
      <c r="R16" s="73">
        <f>SUM(R12:R15)</f>
        <v>279</v>
      </c>
      <c r="S16" s="76">
        <f>SUM(S12:S15)</f>
        <v>85490</v>
      </c>
    </row>
    <row r="18" spans="2:19" x14ac:dyDescent="0.55000000000000004">
      <c r="C18" s="11" t="s">
        <v>46</v>
      </c>
      <c r="D18" s="78">
        <f>D16/D3</f>
        <v>3.2</v>
      </c>
      <c r="E18" s="78">
        <f t="shared" ref="E18:J18" si="8">E16/E3</f>
        <v>3.2</v>
      </c>
      <c r="F18" s="78">
        <f t="shared" si="8"/>
        <v>1.625</v>
      </c>
      <c r="G18" s="78">
        <f t="shared" si="8"/>
        <v>1.2250000000000001</v>
      </c>
      <c r="H18" s="78">
        <f t="shared" si="8"/>
        <v>1.2250000000000001</v>
      </c>
      <c r="I18" s="78">
        <f t="shared" si="8"/>
        <v>1.2250000000000001</v>
      </c>
      <c r="J18" s="78">
        <f t="shared" si="8"/>
        <v>1.2250000000000001</v>
      </c>
      <c r="K18" s="78">
        <f>K16/K3</f>
        <v>1.0249999999999999</v>
      </c>
      <c r="O18" s="59"/>
      <c r="R18" s="24" t="s">
        <v>47</v>
      </c>
      <c r="S18" s="77">
        <f>S16/R16</f>
        <v>306.415770609319</v>
      </c>
    </row>
    <row r="19" spans="2:19" x14ac:dyDescent="0.55000000000000004">
      <c r="O19" s="59"/>
      <c r="P19" s="10"/>
      <c r="Q19" s="10"/>
    </row>
    <row r="20" spans="2:19" x14ac:dyDescent="0.55000000000000004">
      <c r="B20" s="15" t="s">
        <v>37</v>
      </c>
      <c r="C20" s="15" t="s">
        <v>2</v>
      </c>
      <c r="D20" s="16" t="s">
        <v>48</v>
      </c>
      <c r="E20" s="16" t="s">
        <v>49</v>
      </c>
      <c r="F20" s="16" t="s">
        <v>50</v>
      </c>
      <c r="G20" s="16" t="s">
        <v>51</v>
      </c>
      <c r="H20" s="16" t="s">
        <v>52</v>
      </c>
      <c r="I20" s="16" t="s">
        <v>53</v>
      </c>
      <c r="J20" s="16" t="s">
        <v>54</v>
      </c>
      <c r="K20" s="16" t="s">
        <v>55</v>
      </c>
    </row>
    <row r="21" spans="2:19" x14ac:dyDescent="0.55000000000000004">
      <c r="B21" s="18" t="s">
        <v>56</v>
      </c>
      <c r="C21" s="18" t="s">
        <v>33</v>
      </c>
      <c r="D21" s="79">
        <f>O12*D12</f>
        <v>3000</v>
      </c>
      <c r="E21" s="79">
        <f>E12*O12</f>
        <v>3000</v>
      </c>
      <c r="F21" s="79">
        <f>F12*O12</f>
        <v>1200</v>
      </c>
      <c r="G21" s="79">
        <f>G12*O12</f>
        <v>1200</v>
      </c>
      <c r="H21" s="79">
        <f>H12*O12</f>
        <v>1200</v>
      </c>
      <c r="I21" s="79">
        <f>I12*O12</f>
        <v>1200</v>
      </c>
      <c r="J21" s="79">
        <f>J12*O12</f>
        <v>1200</v>
      </c>
      <c r="K21" s="79">
        <f>K12*O12</f>
        <v>600</v>
      </c>
    </row>
    <row r="22" spans="2:19" x14ac:dyDescent="0.55000000000000004">
      <c r="B22" s="18" t="s">
        <v>38</v>
      </c>
      <c r="C22" s="18" t="s">
        <v>33</v>
      </c>
      <c r="D22" s="79">
        <f>O13*D13</f>
        <v>3000</v>
      </c>
      <c r="E22" s="79">
        <f>E13*O13</f>
        <v>3000</v>
      </c>
      <c r="F22" s="79">
        <f>F13*O13</f>
        <v>1500</v>
      </c>
      <c r="G22" s="79">
        <f>G13*O13</f>
        <v>0</v>
      </c>
      <c r="H22" s="79">
        <f>H13*O13</f>
        <v>0</v>
      </c>
      <c r="I22" s="79">
        <f>I13*O13</f>
        <v>0</v>
      </c>
      <c r="J22" s="79">
        <f>J13*O13</f>
        <v>0</v>
      </c>
      <c r="K22" s="79">
        <f>K13*O13</f>
        <v>0</v>
      </c>
    </row>
    <row r="23" spans="2:19" x14ac:dyDescent="0.55000000000000004">
      <c r="B23" s="18" t="s">
        <v>39</v>
      </c>
      <c r="C23" s="18" t="s">
        <v>33</v>
      </c>
      <c r="D23" s="79">
        <f>O14*D14</f>
        <v>3000</v>
      </c>
      <c r="E23" s="79">
        <f>E14*O14</f>
        <v>3000</v>
      </c>
      <c r="F23" s="79">
        <f>F14*O14</f>
        <v>1500</v>
      </c>
      <c r="G23" s="79">
        <f>G14*O14</f>
        <v>600</v>
      </c>
      <c r="H23" s="79">
        <f>H14*O14</f>
        <v>600</v>
      </c>
      <c r="I23" s="79">
        <f>I14*O14</f>
        <v>600</v>
      </c>
      <c r="J23" s="79">
        <f>J14*O14</f>
        <v>600</v>
      </c>
      <c r="K23" s="79">
        <f>K14*O14</f>
        <v>0</v>
      </c>
    </row>
    <row r="24" spans="2:19" x14ac:dyDescent="0.55000000000000004">
      <c r="B24" s="18" t="s">
        <v>40</v>
      </c>
      <c r="C24" s="18" t="s">
        <v>30</v>
      </c>
      <c r="D24" s="79">
        <f>O15*D15</f>
        <v>10540</v>
      </c>
      <c r="E24" s="79">
        <f>E15*O15</f>
        <v>10540</v>
      </c>
      <c r="F24" s="79">
        <f>F15*O15+30000</f>
        <v>35735</v>
      </c>
      <c r="G24" s="79">
        <f>G15*O15</f>
        <v>5735</v>
      </c>
      <c r="H24" s="79">
        <f>H15*O15</f>
        <v>5735</v>
      </c>
      <c r="I24" s="79">
        <f>I15*O15</f>
        <v>5735</v>
      </c>
      <c r="J24" s="79">
        <f>J15*O15</f>
        <v>5735</v>
      </c>
      <c r="K24" s="79">
        <f>K15*O15</f>
        <v>5735</v>
      </c>
    </row>
    <row r="25" spans="2:19" x14ac:dyDescent="0.55000000000000004">
      <c r="B25" s="21" t="s">
        <v>41</v>
      </c>
      <c r="C25" s="21"/>
      <c r="D25" s="80">
        <f>SUM(D21:D24)</f>
        <v>19540</v>
      </c>
      <c r="E25" s="80">
        <f t="shared" ref="E25:K25" si="9">SUM(E21:E24)</f>
        <v>19540</v>
      </c>
      <c r="F25" s="80">
        <f t="shared" si="9"/>
        <v>39935</v>
      </c>
      <c r="G25" s="80">
        <f t="shared" si="9"/>
        <v>7535</v>
      </c>
      <c r="H25" s="80">
        <f t="shared" si="9"/>
        <v>7535</v>
      </c>
      <c r="I25" s="80">
        <f t="shared" si="9"/>
        <v>7535</v>
      </c>
      <c r="J25" s="80">
        <f t="shared" si="9"/>
        <v>7535</v>
      </c>
      <c r="K25" s="80">
        <f t="shared" si="9"/>
        <v>6335</v>
      </c>
      <c r="L25" s="82">
        <f>SUM(D25:K25)</f>
        <v>115490</v>
      </c>
    </row>
    <row r="26" spans="2:19" x14ac:dyDescent="0.55000000000000004">
      <c r="B26" s="57" t="s">
        <v>103</v>
      </c>
      <c r="C26" s="21"/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1</v>
      </c>
      <c r="L26" s="27"/>
    </row>
    <row r="27" spans="2:19" x14ac:dyDescent="0.55000000000000004">
      <c r="B27" s="57" t="s">
        <v>102</v>
      </c>
      <c r="D27" s="81">
        <f>D26*'05_Risk_Assessment'!$J$13</f>
        <v>0</v>
      </c>
      <c r="E27" s="81">
        <f>E26*'05_Risk_Assessment'!$J$13</f>
        <v>0</v>
      </c>
      <c r="F27" s="81">
        <f>F26*'05_Risk_Assessment'!$J$13</f>
        <v>0</v>
      </c>
      <c r="G27" s="81">
        <f>G26*'05_Risk_Assessment'!$J$13</f>
        <v>0</v>
      </c>
      <c r="H27" s="81">
        <f>H26*'05_Risk_Assessment'!$J$13</f>
        <v>0</v>
      </c>
      <c r="I27" s="81">
        <f>I26*'05_Risk_Assessment'!$J$13</f>
        <v>0</v>
      </c>
      <c r="J27" s="81">
        <f>J26*'05_Risk_Assessment'!$J$13</f>
        <v>0</v>
      </c>
      <c r="K27" s="81">
        <f>K26*'05_Risk_Assessment'!$J$13</f>
        <v>7110</v>
      </c>
      <c r="L27" s="82">
        <f>SUM(D27:K27)</f>
        <v>7110</v>
      </c>
    </row>
    <row r="29" spans="2:19" x14ac:dyDescent="0.55000000000000004">
      <c r="B29" s="17"/>
      <c r="D29" s="14" t="s">
        <v>48</v>
      </c>
      <c r="E29" s="14" t="s">
        <v>49</v>
      </c>
      <c r="F29" s="14" t="s">
        <v>50</v>
      </c>
      <c r="G29" s="14" t="s">
        <v>51</v>
      </c>
      <c r="H29" s="14" t="s">
        <v>52</v>
      </c>
      <c r="I29" s="14" t="s">
        <v>53</v>
      </c>
      <c r="J29" s="14" t="s">
        <v>54</v>
      </c>
      <c r="K29" s="14" t="s">
        <v>55</v>
      </c>
      <c r="L29" s="17"/>
    </row>
    <row r="30" spans="2:19" x14ac:dyDescent="0.55000000000000004">
      <c r="C30" s="3" t="s">
        <v>98</v>
      </c>
      <c r="D30" s="56">
        <v>81000</v>
      </c>
      <c r="E30" s="53"/>
      <c r="F30" s="56">
        <v>130000</v>
      </c>
    </row>
    <row r="31" spans="2:19" x14ac:dyDescent="0.55000000000000004">
      <c r="C31" s="3" t="s">
        <v>104</v>
      </c>
      <c r="D31" s="54">
        <v>0.5</v>
      </c>
      <c r="E31" s="54">
        <v>0.5</v>
      </c>
      <c r="F31" s="54">
        <v>0.2</v>
      </c>
      <c r="G31" s="54">
        <v>0.15</v>
      </c>
      <c r="H31" s="54">
        <v>0.15</v>
      </c>
      <c r="I31" s="54">
        <v>0.15</v>
      </c>
      <c r="J31" s="54">
        <v>0.15</v>
      </c>
      <c r="K31" s="54">
        <v>0.2</v>
      </c>
    </row>
    <row r="32" spans="2:19" x14ac:dyDescent="0.55000000000000004">
      <c r="C32" s="3" t="s">
        <v>44</v>
      </c>
      <c r="D32" s="85">
        <f t="shared" ref="D32:K32" si="10">D25+D27</f>
        <v>19540</v>
      </c>
      <c r="E32" s="85">
        <f t="shared" si="10"/>
        <v>19540</v>
      </c>
      <c r="F32" s="85">
        <f t="shared" si="10"/>
        <v>39935</v>
      </c>
      <c r="G32" s="85">
        <f t="shared" si="10"/>
        <v>7535</v>
      </c>
      <c r="H32" s="85">
        <f t="shared" si="10"/>
        <v>7535</v>
      </c>
      <c r="I32" s="85">
        <f t="shared" si="10"/>
        <v>7535</v>
      </c>
      <c r="J32" s="85">
        <f t="shared" si="10"/>
        <v>7535</v>
      </c>
      <c r="K32" s="85">
        <f t="shared" si="10"/>
        <v>13445</v>
      </c>
      <c r="L32" s="86">
        <f>SUM(D32:K32)</f>
        <v>122600</v>
      </c>
    </row>
    <row r="33" spans="3:14" x14ac:dyDescent="0.55000000000000004">
      <c r="C33" s="3" t="s">
        <v>97</v>
      </c>
      <c r="D33" s="85">
        <f>$D$30*D31</f>
        <v>40500</v>
      </c>
      <c r="E33" s="85">
        <f>$D$30*E31</f>
        <v>40500</v>
      </c>
      <c r="F33" s="85">
        <f t="shared" ref="F33:K33" si="11">$F$30*F31</f>
        <v>26000</v>
      </c>
      <c r="G33" s="85">
        <f>$F$30*G31</f>
        <v>19500</v>
      </c>
      <c r="H33" s="85">
        <f>$F$30*H31</f>
        <v>19500</v>
      </c>
      <c r="I33" s="85">
        <f t="shared" si="11"/>
        <v>19500</v>
      </c>
      <c r="J33" s="85">
        <f t="shared" si="11"/>
        <v>19500</v>
      </c>
      <c r="K33" s="85">
        <f t="shared" si="11"/>
        <v>26000</v>
      </c>
      <c r="L33" s="86">
        <f>SUM(D33:K33)</f>
        <v>211000</v>
      </c>
    </row>
    <row r="34" spans="3:14" x14ac:dyDescent="0.55000000000000004">
      <c r="C34" s="3" t="s">
        <v>99</v>
      </c>
      <c r="D34" s="85">
        <f t="shared" ref="D34:K34" si="12">D33-D32</f>
        <v>20960</v>
      </c>
      <c r="E34" s="85">
        <f t="shared" si="12"/>
        <v>20960</v>
      </c>
      <c r="F34" s="85">
        <f t="shared" si="12"/>
        <v>-13935</v>
      </c>
      <c r="G34" s="85">
        <f>G33-G32</f>
        <v>11965</v>
      </c>
      <c r="H34" s="85">
        <f t="shared" si="12"/>
        <v>11965</v>
      </c>
      <c r="I34" s="85">
        <f t="shared" si="12"/>
        <v>11965</v>
      </c>
      <c r="J34" s="85">
        <f t="shared" si="12"/>
        <v>11965</v>
      </c>
      <c r="K34" s="85">
        <f t="shared" si="12"/>
        <v>12555</v>
      </c>
      <c r="L34" s="86">
        <f>SUM(D34:K34)</f>
        <v>88400</v>
      </c>
      <c r="N34" s="55"/>
    </row>
    <row r="35" spans="3:14" x14ac:dyDescent="0.55000000000000004">
      <c r="C35" s="3" t="s">
        <v>100</v>
      </c>
      <c r="D35" s="83">
        <f t="shared" ref="D35:K35" si="13">IF(D33=0,"",(D33-D32)/D33)</f>
        <v>0.51753086419753092</v>
      </c>
      <c r="E35" s="83">
        <f t="shared" si="13"/>
        <v>0.51753086419753092</v>
      </c>
      <c r="F35" s="83">
        <f t="shared" si="13"/>
        <v>-0.53596153846153849</v>
      </c>
      <c r="G35" s="83">
        <f>IF(G33=0,"",(G33-G32)/G33)</f>
        <v>0.61358974358974361</v>
      </c>
      <c r="H35" s="83">
        <f t="shared" si="13"/>
        <v>0.61358974358974361</v>
      </c>
      <c r="I35" s="83">
        <f t="shared" si="13"/>
        <v>0.61358974358974361</v>
      </c>
      <c r="J35" s="83">
        <f t="shared" si="13"/>
        <v>0.61358974358974361</v>
      </c>
      <c r="K35" s="83">
        <f t="shared" si="13"/>
        <v>0.48288461538461541</v>
      </c>
      <c r="L35" s="52"/>
    </row>
    <row r="36" spans="3:14" x14ac:dyDescent="0.55000000000000004">
      <c r="C36" s="3" t="s">
        <v>101</v>
      </c>
      <c r="D36" s="83">
        <f>IF(SUM($C$33:D33)=0,"",SUM($C$34:D34)/SUM($C$33:D33))</f>
        <v>0.51753086419753092</v>
      </c>
      <c r="E36" s="83">
        <f>IF(SUM($C$33:E33)=0,"",SUM($C$34:E34)/SUM($C$33:E33))</f>
        <v>0.51753086419753092</v>
      </c>
      <c r="F36" s="83">
        <f>IF(SUM($C$33:F33)=0,"",SUM($C$34:F34)/SUM($C$33:F33))</f>
        <v>0.26154205607476638</v>
      </c>
      <c r="G36" s="83">
        <f>IF(SUM($C$33:G33)=0,"",SUM($C$34:G34)/SUM($C$33:G33))</f>
        <v>0.31581027667984191</v>
      </c>
      <c r="H36" s="83">
        <f>IF(SUM($C$33:H33)=0,"",SUM($C$34:H34)/SUM($C$33:H33))</f>
        <v>0.3555821917808219</v>
      </c>
      <c r="I36" s="83">
        <f>IF(SUM($C$33:I33)=0,"",SUM($C$34:I34)/SUM($C$33:I33))</f>
        <v>0.3859818731117825</v>
      </c>
      <c r="J36" s="83">
        <f>IF(SUM($C$33:J33)=0,"",SUM($C$34:J34)/SUM($C$33:J33))</f>
        <v>0.40997297297297297</v>
      </c>
      <c r="K36" s="83">
        <f>IF(SUM($C$33:K33)=0,"",SUM($C$34:K34)/SUM($C$33:K33))</f>
        <v>0.41895734597156398</v>
      </c>
      <c r="L36" s="84">
        <f>L34/L33</f>
        <v>0.41895734597156398</v>
      </c>
    </row>
  </sheetData>
  <mergeCells count="2">
    <mergeCell ref="D2:E2"/>
    <mergeCell ref="F2:J2"/>
  </mergeCells>
  <phoneticPr fontId="1" type="noConversion"/>
  <pageMargins left="0.7" right="0.7" top="0.75" bottom="0.75" header="0.3" footer="0.3"/>
  <pageSetup paperSize="9" orientation="portrait" horizontalDpi="300" verticalDpi="30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D8E1E-650F-4410-833E-ADB34C0EA7DE}">
  <dimension ref="A2:J32"/>
  <sheetViews>
    <sheetView showGridLines="0" topLeftCell="A2" zoomScaleNormal="100" zoomScaleSheetLayoutView="100" workbookViewId="0">
      <selection activeCell="E8" sqref="E8"/>
    </sheetView>
  </sheetViews>
  <sheetFormatPr defaultColWidth="53.5546875" defaultRowHeight="15.6" x14ac:dyDescent="0.3"/>
  <cols>
    <col min="1" max="1" width="14.33203125" style="28" bestFit="1" customWidth="1"/>
    <col min="2" max="2" width="53.5546875" style="2"/>
    <col min="3" max="3" width="54.44140625" style="2" customWidth="1"/>
    <col min="4" max="4" width="22.6640625" style="2" bestFit="1" customWidth="1"/>
    <col min="5" max="5" width="27.5546875" style="2" bestFit="1" customWidth="1"/>
    <col min="6" max="6" width="26.109375" style="2" bestFit="1" customWidth="1"/>
    <col min="7" max="7" width="36.5546875" style="2" bestFit="1" customWidth="1"/>
    <col min="8" max="8" width="22.44140625" style="2" bestFit="1" customWidth="1"/>
    <col min="9" max="9" width="11.109375" style="2" customWidth="1"/>
    <col min="10" max="10" width="20" style="2" customWidth="1"/>
    <col min="11" max="16384" width="53.5546875" style="2"/>
  </cols>
  <sheetData>
    <row r="2" spans="1:10" ht="62.4" x14ac:dyDescent="0.3">
      <c r="A2" s="44"/>
      <c r="B2" s="44"/>
      <c r="C2" s="44"/>
      <c r="D2" s="41" t="s">
        <v>4</v>
      </c>
      <c r="E2" s="41" t="s">
        <v>11</v>
      </c>
      <c r="F2" s="41" t="s">
        <v>9</v>
      </c>
      <c r="G2" s="41" t="s">
        <v>10</v>
      </c>
      <c r="J2" s="51">
        <v>300</v>
      </c>
    </row>
    <row r="3" spans="1:10" s="28" customFormat="1" x14ac:dyDescent="0.3">
      <c r="A3" s="43" t="s">
        <v>0</v>
      </c>
      <c r="B3" s="43" t="s">
        <v>3</v>
      </c>
      <c r="C3" s="43" t="s">
        <v>111</v>
      </c>
      <c r="D3" s="40" t="s">
        <v>7</v>
      </c>
      <c r="E3" s="40" t="s">
        <v>5</v>
      </c>
      <c r="F3" s="40" t="s">
        <v>6</v>
      </c>
      <c r="G3" s="40" t="s">
        <v>8</v>
      </c>
      <c r="H3" s="40" t="s">
        <v>94</v>
      </c>
      <c r="I3" s="40" t="s">
        <v>93</v>
      </c>
      <c r="J3" s="40" t="s">
        <v>95</v>
      </c>
    </row>
    <row r="4" spans="1:10" ht="109.2" x14ac:dyDescent="0.3">
      <c r="A4" s="49">
        <v>1</v>
      </c>
      <c r="B4" s="32" t="s">
        <v>86</v>
      </c>
      <c r="C4" s="32" t="s">
        <v>105</v>
      </c>
      <c r="D4" s="42" t="s">
        <v>80</v>
      </c>
      <c r="E4" s="31">
        <v>3</v>
      </c>
      <c r="F4" s="31">
        <v>3</v>
      </c>
      <c r="G4" s="87">
        <f>E4*F4</f>
        <v>9</v>
      </c>
      <c r="H4" s="32">
        <v>5</v>
      </c>
      <c r="I4" s="50">
        <v>0.6</v>
      </c>
      <c r="J4" s="89">
        <f>H4*I4*$J$2</f>
        <v>900</v>
      </c>
    </row>
    <row r="5" spans="1:10" ht="62.4" x14ac:dyDescent="0.3">
      <c r="A5" s="49">
        <f>A4+1</f>
        <v>2</v>
      </c>
      <c r="B5" s="32" t="s">
        <v>87</v>
      </c>
      <c r="C5" s="32" t="s">
        <v>112</v>
      </c>
      <c r="D5" s="42" t="s">
        <v>81</v>
      </c>
      <c r="E5" s="31">
        <v>3</v>
      </c>
      <c r="F5" s="31">
        <v>3</v>
      </c>
      <c r="G5" s="87">
        <f t="shared" ref="G5:G9" si="0">E5*F5</f>
        <v>9</v>
      </c>
      <c r="H5" s="32">
        <v>2</v>
      </c>
      <c r="I5" s="50">
        <v>0.6</v>
      </c>
      <c r="J5" s="89">
        <f>H5*I5*$J$2</f>
        <v>360</v>
      </c>
    </row>
    <row r="6" spans="1:10" ht="62.4" x14ac:dyDescent="0.3">
      <c r="A6" s="49">
        <f t="shared" ref="A6:A10" si="1">A5+1</f>
        <v>3</v>
      </c>
      <c r="B6" s="32" t="s">
        <v>88</v>
      </c>
      <c r="C6" s="32" t="s">
        <v>106</v>
      </c>
      <c r="D6" s="42" t="s">
        <v>80</v>
      </c>
      <c r="E6" s="31">
        <v>5</v>
      </c>
      <c r="F6" s="31">
        <v>4</v>
      </c>
      <c r="G6" s="88">
        <f t="shared" si="0"/>
        <v>20</v>
      </c>
      <c r="H6" s="32">
        <v>10</v>
      </c>
      <c r="I6" s="50">
        <v>0.8</v>
      </c>
      <c r="J6" s="89">
        <f t="shared" ref="J6:J10" si="2">H6*I6*$J$2</f>
        <v>2400</v>
      </c>
    </row>
    <row r="7" spans="1:10" ht="93.6" x14ac:dyDescent="0.3">
      <c r="A7" s="49">
        <f t="shared" si="1"/>
        <v>4</v>
      </c>
      <c r="B7" s="32" t="s">
        <v>89</v>
      </c>
      <c r="C7" s="32" t="s">
        <v>107</v>
      </c>
      <c r="D7" s="42" t="s">
        <v>81</v>
      </c>
      <c r="E7" s="31">
        <v>4</v>
      </c>
      <c r="F7" s="31">
        <v>4</v>
      </c>
      <c r="G7" s="88">
        <f t="shared" si="0"/>
        <v>16</v>
      </c>
      <c r="H7" s="32">
        <v>5</v>
      </c>
      <c r="I7" s="50">
        <v>0.5</v>
      </c>
      <c r="J7" s="89">
        <f t="shared" si="2"/>
        <v>750</v>
      </c>
    </row>
    <row r="8" spans="1:10" ht="62.4" x14ac:dyDescent="0.3">
      <c r="A8" s="49">
        <f t="shared" si="1"/>
        <v>5</v>
      </c>
      <c r="B8" s="32" t="s">
        <v>90</v>
      </c>
      <c r="C8" s="32" t="s">
        <v>108</v>
      </c>
      <c r="D8" s="42" t="s">
        <v>81</v>
      </c>
      <c r="E8" s="31">
        <v>4</v>
      </c>
      <c r="F8" s="31">
        <v>4</v>
      </c>
      <c r="G8" s="88">
        <f>E8*F8</f>
        <v>16</v>
      </c>
      <c r="H8" s="32">
        <v>5</v>
      </c>
      <c r="I8" s="50">
        <v>0.5</v>
      </c>
      <c r="J8" s="89">
        <f t="shared" si="2"/>
        <v>750</v>
      </c>
    </row>
    <row r="9" spans="1:10" ht="62.4" x14ac:dyDescent="0.3">
      <c r="A9" s="49">
        <f t="shared" si="1"/>
        <v>6</v>
      </c>
      <c r="B9" s="32" t="s">
        <v>91</v>
      </c>
      <c r="C9" s="32" t="s">
        <v>109</v>
      </c>
      <c r="D9" s="42" t="s">
        <v>82</v>
      </c>
      <c r="E9" s="31">
        <v>4</v>
      </c>
      <c r="F9" s="31">
        <v>4</v>
      </c>
      <c r="G9" s="88">
        <f t="shared" si="0"/>
        <v>16</v>
      </c>
      <c r="H9" s="32">
        <v>10</v>
      </c>
      <c r="I9" s="50">
        <v>0.5</v>
      </c>
      <c r="J9" s="89">
        <f t="shared" si="2"/>
        <v>1500</v>
      </c>
    </row>
    <row r="10" spans="1:10" ht="62.4" x14ac:dyDescent="0.3">
      <c r="A10" s="49">
        <f t="shared" si="1"/>
        <v>7</v>
      </c>
      <c r="B10" s="32" t="s">
        <v>92</v>
      </c>
      <c r="C10" s="32" t="s">
        <v>110</v>
      </c>
      <c r="D10" s="42" t="s">
        <v>85</v>
      </c>
      <c r="E10" s="31">
        <v>3</v>
      </c>
      <c r="F10" s="31">
        <v>3</v>
      </c>
      <c r="G10" s="87">
        <f t="shared" ref="G10" si="3">E10*F10</f>
        <v>9</v>
      </c>
      <c r="H10" s="32">
        <v>5</v>
      </c>
      <c r="I10" s="50">
        <v>0.3</v>
      </c>
      <c r="J10" s="89">
        <f t="shared" si="2"/>
        <v>450</v>
      </c>
    </row>
    <row r="11" spans="1:10" x14ac:dyDescent="0.3">
      <c r="A11" s="31"/>
      <c r="B11" s="32"/>
      <c r="C11" s="32"/>
      <c r="D11" s="32"/>
      <c r="E11" s="32"/>
      <c r="F11" s="32"/>
      <c r="G11" s="32"/>
      <c r="H11" s="32"/>
      <c r="I11" s="32"/>
      <c r="J11" s="32"/>
    </row>
    <row r="12" spans="1:10" ht="16.2" thickBot="1" x14ac:dyDescent="0.35"/>
    <row r="13" spans="1:10" ht="16.2" thickBot="1" x14ac:dyDescent="0.35">
      <c r="H13" s="91">
        <f>J13/J2</f>
        <v>23.7</v>
      </c>
      <c r="J13" s="90">
        <f>SUM(J4:J10)</f>
        <v>7110</v>
      </c>
    </row>
    <row r="15" spans="1:10" x14ac:dyDescent="0.55000000000000004">
      <c r="A15" s="45" t="s">
        <v>7</v>
      </c>
      <c r="B15" s="45" t="s">
        <v>84</v>
      </c>
      <c r="C15" s="61"/>
      <c r="D15" s="3"/>
    </row>
    <row r="16" spans="1:10" x14ac:dyDescent="0.55000000000000004">
      <c r="A16" s="46" t="s">
        <v>82</v>
      </c>
      <c r="B16" s="47">
        <v>16</v>
      </c>
      <c r="C16" s="3"/>
      <c r="D16" s="3"/>
    </row>
    <row r="17" spans="1:4" x14ac:dyDescent="0.55000000000000004">
      <c r="A17" s="46" t="s">
        <v>80</v>
      </c>
      <c r="B17" s="47">
        <v>29</v>
      </c>
      <c r="C17" s="3"/>
      <c r="D17" s="3"/>
    </row>
    <row r="18" spans="1:4" x14ac:dyDescent="0.55000000000000004">
      <c r="A18" s="46" t="s">
        <v>85</v>
      </c>
      <c r="B18" s="47">
        <v>9</v>
      </c>
      <c r="C18" s="3"/>
      <c r="D18" s="3"/>
    </row>
    <row r="19" spans="1:4" x14ac:dyDescent="0.55000000000000004">
      <c r="A19" s="46" t="s">
        <v>81</v>
      </c>
      <c r="B19" s="47">
        <v>41</v>
      </c>
      <c r="C19" s="3"/>
      <c r="D19" s="3"/>
    </row>
    <row r="20" spans="1:4" x14ac:dyDescent="0.55000000000000004">
      <c r="A20" s="48" t="s">
        <v>83</v>
      </c>
      <c r="B20" s="45">
        <v>95</v>
      </c>
      <c r="C20" s="61"/>
      <c r="D20" s="3"/>
    </row>
    <row r="21" spans="1:4" ht="17.399999999999999" x14ac:dyDescent="0.55000000000000004">
      <c r="A21"/>
      <c r="B21"/>
      <c r="C21"/>
      <c r="D21" s="3"/>
    </row>
    <row r="22" spans="1:4" x14ac:dyDescent="0.3">
      <c r="A22"/>
      <c r="B22"/>
      <c r="C22"/>
      <c r="D22"/>
    </row>
    <row r="23" spans="1:4" x14ac:dyDescent="0.3">
      <c r="A23"/>
      <c r="B23"/>
      <c r="C23"/>
      <c r="D23"/>
    </row>
    <row r="24" spans="1:4" x14ac:dyDescent="0.3">
      <c r="A24"/>
      <c r="B24"/>
      <c r="C24"/>
      <c r="D24"/>
    </row>
    <row r="25" spans="1:4" x14ac:dyDescent="0.3">
      <c r="A25"/>
      <c r="B25"/>
      <c r="C25"/>
      <c r="D25"/>
    </row>
    <row r="26" spans="1:4" x14ac:dyDescent="0.3">
      <c r="A26"/>
      <c r="B26"/>
      <c r="C26"/>
      <c r="D26"/>
    </row>
    <row r="27" spans="1:4" x14ac:dyDescent="0.3">
      <c r="A27"/>
      <c r="B27"/>
      <c r="C27"/>
      <c r="D27"/>
    </row>
    <row r="28" spans="1:4" x14ac:dyDescent="0.3">
      <c r="A28"/>
      <c r="B28"/>
      <c r="C28"/>
      <c r="D28"/>
    </row>
    <row r="29" spans="1:4" x14ac:dyDescent="0.3">
      <c r="A29"/>
      <c r="B29"/>
      <c r="C29"/>
      <c r="D29"/>
    </row>
    <row r="30" spans="1:4" x14ac:dyDescent="0.3">
      <c r="A30"/>
      <c r="B30"/>
      <c r="C30"/>
      <c r="D30"/>
    </row>
    <row r="31" spans="1:4" x14ac:dyDescent="0.3">
      <c r="A31"/>
      <c r="B31"/>
      <c r="C31"/>
      <c r="D31"/>
    </row>
    <row r="32" spans="1:4" x14ac:dyDescent="0.3">
      <c r="A32"/>
      <c r="B32"/>
      <c r="C32"/>
      <c r="D32"/>
    </row>
  </sheetData>
  <dataValidations count="2">
    <dataValidation type="list" allowBlank="1" showInputMessage="1" showErrorMessage="1" sqref="D4:D10" xr:uid="{54B4B1CD-EFE3-4530-8235-7C4E3B879D1D}">
      <formula1>"RR,TR,BR,QR"</formula1>
    </dataValidation>
    <dataValidation type="list" allowBlank="1" showInputMessage="1" showErrorMessage="1" sqref="E4:F10" xr:uid="{C8BB5ABE-A32C-4741-9923-233D6A0BD09A}">
      <formula1>"1,2,3,4,5"</formula1>
    </dataValidation>
  </dataValidations>
  <pageMargins left="0.7" right="0.7" top="0.75" bottom="0.75" header="0.3" footer="0.3"/>
  <pageSetup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1F8C1811CFC2849BB075804AB038327" ma:contentTypeVersion="6" ma:contentTypeDescription="Creare un nuovo documento." ma:contentTypeScope="" ma:versionID="1b230245fb59b6fdb424d6c54a916aab">
  <xsd:schema xmlns:xsd="http://www.w3.org/2001/XMLSchema" xmlns:xs="http://www.w3.org/2001/XMLSchema" xmlns:p="http://schemas.microsoft.com/office/2006/metadata/properties" xmlns:ns2="353cd2e2-1c11-4b5c-bfac-90f4034b3f06" xmlns:ns3="c99eb337-000b-4878-a4ff-8330c82a1935" xmlns:ns4="f222903d-8679-43da-9a9c-620ddc805fc2" xmlns:ns5="7caceaca-20ef-42d2-b1d4-1dae242b6e79" targetNamespace="http://schemas.microsoft.com/office/2006/metadata/properties" ma:root="true" ma:fieldsID="7f283c8b4b9c24d4965e8c952d86eacf" ns2:_="" ns3:_="" ns4:_="" ns5:_="">
    <xsd:import namespace="353cd2e2-1c11-4b5c-bfac-90f4034b3f06"/>
    <xsd:import namespace="c99eb337-000b-4878-a4ff-8330c82a1935"/>
    <xsd:import namespace="f222903d-8679-43da-9a9c-620ddc805fc2"/>
    <xsd:import namespace="7caceaca-20ef-42d2-b1d4-1dae242b6e7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Flow_SignoffStatus" minOccurs="0"/>
                <xsd:element ref="ns3:MediaServiceObjectDetectorVersions" minOccurs="0"/>
                <xsd:element ref="ns4:lcf76f155ced4ddcb4097134ff3c332f" minOccurs="0"/>
                <xsd:element ref="ns5:TaxCatchAll" minOccurs="0"/>
                <xsd:element ref="ns4:MediaServiceSearchProperties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3cd2e2-1c11-4b5c-bfac-90f4034b3f0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9eb337-000b-4878-a4ff-8330c82a19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Flow_SignoffStatus" ma:index="21" nillable="true" ma:displayName="Stato consenso" ma:internalName="Stato_x0020_consenso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22903d-8679-43da-9a9c-620ddc805fc2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4" nillable="true" ma:taxonomy="true" ma:internalName="lcf76f155ced4ddcb4097134ff3c332f" ma:taxonomyFieldName="MediaServiceImageTags" ma:displayName="Tag immagine" ma:readOnly="false" ma:fieldId="{5cf76f15-5ced-4ddc-b409-7134ff3c332f}" ma:taxonomyMulti="true" ma:sspId="5db8b724-95e9-4df4-b731-ff17bccab2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aceaca-20ef-42d2-b1d4-1dae242b6e79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7e1ba174-3a72-45b4-ac8b-44549940dce1}" ma:internalName="TaxCatchAll" ma:showField="CatchAllData" ma:web="7caceaca-20ef-42d2-b1d4-1dae242b6e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22903d-8679-43da-9a9c-620ddc805fc2">
      <Terms xmlns="http://schemas.microsoft.com/office/infopath/2007/PartnerControls"/>
    </lcf76f155ced4ddcb4097134ff3c332f>
    <TaxCatchAll xmlns="7caceaca-20ef-42d2-b1d4-1dae242b6e79" xsi:nil="true"/>
    <_Flow_SignoffStatus xmlns="c99eb337-000b-4878-a4ff-8330c82a1935" xsi:nil="true"/>
  </documentManagement>
</p:properties>
</file>

<file path=customXml/itemProps1.xml><?xml version="1.0" encoding="utf-8"?>
<ds:datastoreItem xmlns:ds="http://schemas.openxmlformats.org/officeDocument/2006/customXml" ds:itemID="{ED93DE5E-B43D-44C5-82BC-DA82507C00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3cd2e2-1c11-4b5c-bfac-90f4034b3f06"/>
    <ds:schemaRef ds:uri="c99eb337-000b-4878-a4ff-8330c82a1935"/>
    <ds:schemaRef ds:uri="f222903d-8679-43da-9a9c-620ddc805fc2"/>
    <ds:schemaRef ds:uri="7caceaca-20ef-42d2-b1d4-1dae242b6e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1555FA3-E7E9-43AE-822D-EA76DE9F351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8581DE-F0F4-43B5-BD50-888C104887F9}">
  <ds:schemaRefs>
    <ds:schemaRef ds:uri="c99eb337-000b-4878-a4ff-8330c82a1935"/>
    <ds:schemaRef ds:uri="http://purl.org/dc/dcmitype/"/>
    <ds:schemaRef ds:uri="http://schemas.microsoft.com/office/infopath/2007/PartnerControls"/>
    <ds:schemaRef ds:uri="http://purl.org/dc/terms/"/>
    <ds:schemaRef ds:uri="http://www.w3.org/XML/1998/namespace"/>
    <ds:schemaRef ds:uri="7caceaca-20ef-42d2-b1d4-1dae242b6e79"/>
    <ds:schemaRef ds:uri="f222903d-8679-43da-9a9c-620ddc805fc2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353cd2e2-1c11-4b5c-bfac-90f4034b3f0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01_Milestone_Deliverables</vt:lpstr>
      <vt:lpstr>02_Dependencies</vt:lpstr>
      <vt:lpstr>03_Project_Plan</vt:lpstr>
      <vt:lpstr>04_Forecast</vt:lpstr>
      <vt:lpstr>05_Risk_Assessment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Fanfoni</dc:creator>
  <cp:lastModifiedBy>Serena Benizzi</cp:lastModifiedBy>
  <dcterms:created xsi:type="dcterms:W3CDTF">2026-03-02T07:59:49Z</dcterms:created>
  <dcterms:modified xsi:type="dcterms:W3CDTF">2026-05-12T09:59:18Z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0x01010021F8C1811CFC2849BB075804AB038327</vt:lpwstr>
  </property>
</Properties>
</file>