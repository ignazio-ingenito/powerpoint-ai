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https://txtgroup.sharepoint.com/sites/Novigo-Sharepoint/FileServerNovigo/Organizzazione/TXT Novigo - CDG/Dati gestionali (PQ e report)/Review Processi CDG/"/>
    </mc:Choice>
  </mc:AlternateContent>
  <xr:revisionPtr revIDLastSave="489" documentId="11_1449A67801F94211065C8B863D3C09A6D9E27826" xr6:coauthVersionLast="47" xr6:coauthVersionMax="47" xr10:uidLastSave="{A2AEA8F1-890C-4AA3-BA8A-C332D91D8409}"/>
  <bookViews>
    <workbookView xWindow="-108" yWindow="-108" windowWidth="23256" windowHeight="13896" xr2:uid="{00000000-000D-0000-FFFF-FFFF00000000}"/>
  </bookViews>
  <sheets>
    <sheet name="Dizionario campi" sheetId="7" r:id="rId1"/>
    <sheet name="P1O1-A Mensile Actual" sheetId="6" r:id="rId2"/>
    <sheet name="P2O1-A Inframensile Actual" sheetId="5" r:id="rId3"/>
    <sheet name="P3O2-Linked issue Actual" sheetId="4" r:id="rId4"/>
    <sheet name="P4O3-Economics plus Actual" sheetId="3" r:id="rId5"/>
    <sheet name="P5O4-Ore SAP x integr Actual" sheetId="2" r:id="rId6"/>
    <sheet name="P6O5-Storico forecast completo" sheetId="1" r:id="rId7"/>
  </sheets>
  <definedNames>
    <definedName name="_xlnm._FilterDatabase" localSheetId="0" hidden="1">'Dizionario campi'!$A$1:$C$47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D9" i="1"/>
  <c r="D4" i="2"/>
  <c r="D24" i="1" l="1"/>
  <c r="D23" i="1"/>
  <c r="D22" i="1"/>
  <c r="D21" i="1"/>
  <c r="D20" i="1"/>
  <c r="D18" i="1"/>
  <c r="D17" i="1"/>
  <c r="D16" i="1"/>
  <c r="D15" i="1"/>
  <c r="D14" i="1"/>
  <c r="D13" i="1"/>
  <c r="D12" i="1"/>
  <c r="D11" i="1"/>
  <c r="D10" i="1"/>
  <c r="D8" i="1"/>
  <c r="D7" i="1"/>
  <c r="D5" i="1"/>
  <c r="D4" i="1"/>
  <c r="D3" i="1"/>
  <c r="D2" i="1"/>
  <c r="A3" i="1"/>
  <c r="A4" i="1"/>
  <c r="A5" i="1"/>
  <c r="A6" i="1"/>
  <c r="A7" i="1"/>
  <c r="A8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" i="1"/>
  <c r="D6" i="2"/>
  <c r="D5" i="2"/>
  <c r="A3" i="2"/>
  <c r="A4" i="2"/>
  <c r="A5" i="2"/>
  <c r="A6" i="2"/>
  <c r="A2" i="2"/>
  <c r="D3" i="3"/>
  <c r="D4" i="3"/>
  <c r="D5" i="3"/>
  <c r="D6" i="3"/>
  <c r="D7" i="3"/>
  <c r="D8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" i="3"/>
  <c r="D3" i="4"/>
  <c r="D4" i="4"/>
  <c r="D5" i="4"/>
  <c r="D6" i="4"/>
  <c r="D7" i="4"/>
  <c r="D8" i="4"/>
  <c r="D9" i="4"/>
  <c r="D10" i="4"/>
  <c r="D11" i="4"/>
  <c r="A3" i="4"/>
  <c r="A4" i="4"/>
  <c r="A5" i="4"/>
  <c r="A6" i="4"/>
  <c r="A7" i="4"/>
  <c r="A8" i="4"/>
  <c r="A9" i="4"/>
  <c r="A10" i="4"/>
  <c r="A11" i="4"/>
  <c r="D2" i="4"/>
  <c r="A2" i="4"/>
  <c r="D3" i="5"/>
  <c r="D4" i="5"/>
  <c r="D5" i="5"/>
  <c r="D6" i="5"/>
  <c r="D7" i="5"/>
  <c r="D8" i="5"/>
  <c r="D9" i="5"/>
  <c r="D10" i="5"/>
  <c r="D11" i="5"/>
  <c r="D12" i="5"/>
  <c r="D2" i="5"/>
  <c r="A2" i="5"/>
  <c r="A12" i="5"/>
  <c r="A11" i="5"/>
  <c r="A10" i="5"/>
  <c r="A9" i="5"/>
  <c r="A8" i="5"/>
  <c r="A7" i="5"/>
  <c r="A6" i="5"/>
  <c r="A5" i="5"/>
  <c r="A4" i="5"/>
  <c r="A3" i="5"/>
</calcChain>
</file>

<file path=xl/sharedStrings.xml><?xml version="1.0" encoding="utf-8"?>
<sst xmlns="http://schemas.openxmlformats.org/spreadsheetml/2006/main" count="529" uniqueCount="170">
  <si>
    <t>Codice campo</t>
  </si>
  <si>
    <t>Campo</t>
  </si>
  <si>
    <t>Fonte</t>
  </si>
  <si>
    <t>D1</t>
  </si>
  <si>
    <t>Issue Key</t>
  </si>
  <si>
    <t>J2</t>
  </si>
  <si>
    <t>D2</t>
  </si>
  <si>
    <t>Full name</t>
  </si>
  <si>
    <t>D3</t>
  </si>
  <si>
    <t>Period</t>
  </si>
  <si>
    <t>D4</t>
  </si>
  <si>
    <t>Account Key</t>
  </si>
  <si>
    <t>D5</t>
  </si>
  <si>
    <t>Account Name</t>
  </si>
  <si>
    <t>D6</t>
  </si>
  <si>
    <t>Account Status</t>
  </si>
  <si>
    <t>D7</t>
  </si>
  <si>
    <t>Account Category</t>
  </si>
  <si>
    <t>D8</t>
  </si>
  <si>
    <t>Issue summary</t>
  </si>
  <si>
    <t>D9</t>
  </si>
  <si>
    <t>Ore principali</t>
  </si>
  <si>
    <t>D10</t>
  </si>
  <si>
    <t>Cliente</t>
  </si>
  <si>
    <t>D11</t>
  </si>
  <si>
    <t>Category Key</t>
  </si>
  <si>
    <t>T4</t>
  </si>
  <si>
    <t>D12</t>
  </si>
  <si>
    <t>Account Interno / Cliente</t>
  </si>
  <si>
    <t>D13</t>
  </si>
  <si>
    <t>Attività specifica Account</t>
  </si>
  <si>
    <t>D14</t>
  </si>
  <si>
    <t>Attività generale</t>
  </si>
  <si>
    <t>D15</t>
  </si>
  <si>
    <t>Specifica T&amp;M</t>
  </si>
  <si>
    <t>D16</t>
  </si>
  <si>
    <t>WBS</t>
  </si>
  <si>
    <t>C1 / S1 / C2</t>
  </si>
  <si>
    <t>D17</t>
  </si>
  <si>
    <t>PM commessa</t>
  </si>
  <si>
    <t>S1</t>
  </si>
  <si>
    <t>D18</t>
  </si>
  <si>
    <t>WBS descrizione</t>
  </si>
  <si>
    <t>D19</t>
  </si>
  <si>
    <t>WBS Priority</t>
  </si>
  <si>
    <t>D20</t>
  </si>
  <si>
    <t>WBS Status</t>
  </si>
  <si>
    <t>D21</t>
  </si>
  <si>
    <t>Cognome Nome SAP</t>
  </si>
  <si>
    <t>O1</t>
  </si>
  <si>
    <t>D22</t>
  </si>
  <si>
    <t>Personnel number - CID</t>
  </si>
  <si>
    <t>D23</t>
  </si>
  <si>
    <t>Data Assunzione</t>
  </si>
  <si>
    <t>D24</t>
  </si>
  <si>
    <t>Orario</t>
  </si>
  <si>
    <t>D25</t>
  </si>
  <si>
    <t>Cessazione</t>
  </si>
  <si>
    <t>D26</t>
  </si>
  <si>
    <t>Tipo risorsa</t>
  </si>
  <si>
    <t>D27</t>
  </si>
  <si>
    <t>Assenze/Rilevazioni</t>
  </si>
  <si>
    <t>D28</t>
  </si>
  <si>
    <t>Trimestre</t>
  </si>
  <si>
    <t>T13</t>
  </si>
  <si>
    <t>D29</t>
  </si>
  <si>
    <t>Anno</t>
  </si>
  <si>
    <t>D30</t>
  </si>
  <si>
    <t>Categoria issue</t>
  </si>
  <si>
    <t>D31</t>
  </si>
  <si>
    <t>Progetto Jira</t>
  </si>
  <si>
    <t>D32</t>
  </si>
  <si>
    <t>Team risorsa new</t>
  </si>
  <si>
    <t>D33</t>
  </si>
  <si>
    <t>Area risorsa new</t>
  </si>
  <si>
    <t>T5</t>
  </si>
  <si>
    <t>D34</t>
  </si>
  <si>
    <t>Team commessa new</t>
  </si>
  <si>
    <t>D35</t>
  </si>
  <si>
    <t>Area commessa new</t>
  </si>
  <si>
    <t>D36</t>
  </si>
  <si>
    <t>Gruppo cliente</t>
  </si>
  <si>
    <t>T6</t>
  </si>
  <si>
    <t>D37</t>
  </si>
  <si>
    <t>Work date</t>
  </si>
  <si>
    <t>D38</t>
  </si>
  <si>
    <t>Work Description</t>
  </si>
  <si>
    <t>D39</t>
  </si>
  <si>
    <t>Issue padre</t>
  </si>
  <si>
    <t>T7</t>
  </si>
  <si>
    <t>D40</t>
  </si>
  <si>
    <t>Account issue key</t>
  </si>
  <si>
    <t>J3</t>
  </si>
  <si>
    <t>D41</t>
  </si>
  <si>
    <t>Account issue padre</t>
  </si>
  <si>
    <t>D42</t>
  </si>
  <si>
    <t>Account Category PADRE</t>
  </si>
  <si>
    <t>D43</t>
  </si>
  <si>
    <t>Specifica T&amp;M PADRE</t>
  </si>
  <si>
    <t>T11</t>
  </si>
  <si>
    <t>D44</t>
  </si>
  <si>
    <t>Account Category FIGLIO</t>
  </si>
  <si>
    <t>D45</t>
  </si>
  <si>
    <t>Specifica T&amp;M FIGLIO</t>
  </si>
  <si>
    <t>D46</t>
  </si>
  <si>
    <t>Ore secondarie</t>
  </si>
  <si>
    <t>D47</t>
  </si>
  <si>
    <t>Ricavi</t>
  </si>
  <si>
    <t>S2</t>
  </si>
  <si>
    <t>D48</t>
  </si>
  <si>
    <t>Costi</t>
  </si>
  <si>
    <t>S3</t>
  </si>
  <si>
    <t>D49</t>
  </si>
  <si>
    <t>Margine</t>
  </si>
  <si>
    <t>P4O3</t>
  </si>
  <si>
    <t>D50</t>
  </si>
  <si>
    <t>Fatturato</t>
  </si>
  <si>
    <t>S4</t>
  </si>
  <si>
    <t>D51</t>
  </si>
  <si>
    <t>WBS Interna / Cliente</t>
  </si>
  <si>
    <t>T10</t>
  </si>
  <si>
    <t>D52</t>
  </si>
  <si>
    <t>Attività specifica WBS</t>
  </si>
  <si>
    <t>D53</t>
  </si>
  <si>
    <t>Costi Struttura</t>
  </si>
  <si>
    <t>D54</t>
  </si>
  <si>
    <t>Ebitda Lob</t>
  </si>
  <si>
    <t>D55</t>
  </si>
  <si>
    <t>Ebitda</t>
  </si>
  <si>
    <t>D56</t>
  </si>
  <si>
    <t>WBS Profit center</t>
  </si>
  <si>
    <t>D57</t>
  </si>
  <si>
    <t>Ore SAP</t>
  </si>
  <si>
    <t>C2</t>
  </si>
  <si>
    <t>D58</t>
  </si>
  <si>
    <t>Data estrazione</t>
  </si>
  <si>
    <t>C3 / F1 / R1</t>
  </si>
  <si>
    <t>D59</t>
  </si>
  <si>
    <t>Versione</t>
  </si>
  <si>
    <t>D60</t>
  </si>
  <si>
    <t>Stato iniziativa</t>
  </si>
  <si>
    <t>D61</t>
  </si>
  <si>
    <t>Probabilità di successo</t>
  </si>
  <si>
    <t>D62</t>
  </si>
  <si>
    <t>Probabilità alta / bassa</t>
  </si>
  <si>
    <t>T12</t>
  </si>
  <si>
    <t>D63</t>
  </si>
  <si>
    <t>Linea Di Offerta</t>
  </si>
  <si>
    <t>D64</t>
  </si>
  <si>
    <t>Perimetro</t>
  </si>
  <si>
    <t>D65</t>
  </si>
  <si>
    <t>Ricavi netti</t>
  </si>
  <si>
    <t>D66</t>
  </si>
  <si>
    <t>Ricavi lordi</t>
  </si>
  <si>
    <t>D67</t>
  </si>
  <si>
    <t>Anno+trim</t>
  </si>
  <si>
    <t>D68</t>
  </si>
  <si>
    <t>Mese</t>
  </si>
  <si>
    <t>D69</t>
  </si>
  <si>
    <t>Tipo controparte</t>
  </si>
  <si>
    <t>F1</t>
  </si>
  <si>
    <t>D70</t>
  </si>
  <si>
    <t>Tipo commessa</t>
  </si>
  <si>
    <t>T9</t>
  </si>
  <si>
    <t>Tipo</t>
  </si>
  <si>
    <t>Input</t>
  </si>
  <si>
    <t>Output</t>
  </si>
  <si>
    <t>C1</t>
  </si>
  <si>
    <t>Issue key</t>
  </si>
  <si>
    <t>WBS 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</si>
</sst>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7D09-E9B9-4BA3-B4FF-8FAED0E7DFA9}">
  <dimension ref="A1:C71"/>
  <sheetViews>
    <sheetView tabSelected="1" zoomScale="114" workbookViewId="0">
      <selection activeCell="B6" sqref="B6"/>
    </sheetView>
  </sheetViews>
  <sheetFormatPr defaultRowHeight="14.45"/>
  <cols>
    <col min="2" max="2" width="21.7109375" bestFit="1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26</v>
      </c>
    </row>
    <row r="14" spans="1:3">
      <c r="A14" t="s">
        <v>29</v>
      </c>
      <c r="B14" t="s">
        <v>30</v>
      </c>
      <c r="C14" t="s">
        <v>26</v>
      </c>
    </row>
    <row r="15" spans="1:3">
      <c r="A15" t="s">
        <v>31</v>
      </c>
      <c r="B15" t="s">
        <v>32</v>
      </c>
      <c r="C15" t="s">
        <v>26</v>
      </c>
    </row>
    <row r="16" spans="1:3">
      <c r="A16" t="s">
        <v>33</v>
      </c>
      <c r="B16" t="s">
        <v>34</v>
      </c>
      <c r="C16" t="s">
        <v>26</v>
      </c>
    </row>
    <row r="17" spans="1:3">
      <c r="A17" t="s">
        <v>35</v>
      </c>
      <c r="B17" t="s">
        <v>36</v>
      </c>
      <c r="C17" t="s">
        <v>37</v>
      </c>
    </row>
    <row r="18" spans="1:3">
      <c r="A18" t="s">
        <v>38</v>
      </c>
      <c r="B18" t="s">
        <v>39</v>
      </c>
      <c r="C18" t="s">
        <v>40</v>
      </c>
    </row>
    <row r="19" spans="1:3">
      <c r="A19" t="s">
        <v>41</v>
      </c>
      <c r="B19" t="s">
        <v>42</v>
      </c>
      <c r="C19" t="s">
        <v>40</v>
      </c>
    </row>
    <row r="20" spans="1:3">
      <c r="A20" t="s">
        <v>43</v>
      </c>
      <c r="B20" t="s">
        <v>44</v>
      </c>
      <c r="C20" t="s">
        <v>40</v>
      </c>
    </row>
    <row r="21" spans="1:3">
      <c r="A21" t="s">
        <v>45</v>
      </c>
      <c r="B21" t="s">
        <v>46</v>
      </c>
      <c r="C21" t="s">
        <v>40</v>
      </c>
    </row>
    <row r="22" spans="1:3">
      <c r="A22" t="s">
        <v>47</v>
      </c>
      <c r="B22" t="s">
        <v>48</v>
      </c>
      <c r="C22" t="s">
        <v>49</v>
      </c>
    </row>
    <row r="23" spans="1:3">
      <c r="A23" t="s">
        <v>50</v>
      </c>
      <c r="B23" t="s">
        <v>51</v>
      </c>
      <c r="C23" t="s">
        <v>49</v>
      </c>
    </row>
    <row r="24" spans="1:3">
      <c r="A24" t="s">
        <v>52</v>
      </c>
      <c r="B24" t="s">
        <v>53</v>
      </c>
      <c r="C24" t="s">
        <v>49</v>
      </c>
    </row>
    <row r="25" spans="1:3">
      <c r="A25" t="s">
        <v>54</v>
      </c>
      <c r="B25" t="s">
        <v>55</v>
      </c>
      <c r="C25" t="s">
        <v>49</v>
      </c>
    </row>
    <row r="26" spans="1:3">
      <c r="A26" t="s">
        <v>56</v>
      </c>
      <c r="B26" t="s">
        <v>57</v>
      </c>
      <c r="C26" t="s">
        <v>49</v>
      </c>
    </row>
    <row r="27" spans="1:3">
      <c r="A27" t="s">
        <v>58</v>
      </c>
      <c r="B27" t="s">
        <v>59</v>
      </c>
      <c r="C27" t="s">
        <v>49</v>
      </c>
    </row>
    <row r="28" spans="1:3">
      <c r="A28" t="s">
        <v>60</v>
      </c>
      <c r="B28" t="s">
        <v>61</v>
      </c>
      <c r="C28" t="s">
        <v>49</v>
      </c>
    </row>
    <row r="29" spans="1:3">
      <c r="A29" t="s">
        <v>62</v>
      </c>
      <c r="B29" t="s">
        <v>63</v>
      </c>
      <c r="C29" t="s">
        <v>64</v>
      </c>
    </row>
    <row r="30" spans="1:3">
      <c r="A30" t="s">
        <v>65</v>
      </c>
      <c r="B30" t="s">
        <v>66</v>
      </c>
      <c r="C30" t="s">
        <v>64</v>
      </c>
    </row>
    <row r="31" spans="1:3">
      <c r="A31" t="s">
        <v>67</v>
      </c>
      <c r="B31" t="s">
        <v>68</v>
      </c>
      <c r="C31" t="s">
        <v>5</v>
      </c>
    </row>
    <row r="32" spans="1:3">
      <c r="A32" t="s">
        <v>69</v>
      </c>
      <c r="B32" t="s">
        <v>70</v>
      </c>
      <c r="C32" t="s">
        <v>5</v>
      </c>
    </row>
    <row r="33" spans="1:3">
      <c r="A33" t="s">
        <v>71</v>
      </c>
      <c r="B33" t="s">
        <v>72</v>
      </c>
      <c r="C33" t="s">
        <v>49</v>
      </c>
    </row>
    <row r="34" spans="1:3">
      <c r="A34" t="s">
        <v>73</v>
      </c>
      <c r="B34" t="s">
        <v>74</v>
      </c>
      <c r="C34" t="s">
        <v>75</v>
      </c>
    </row>
    <row r="35" spans="1:3">
      <c r="A35" t="s">
        <v>76</v>
      </c>
      <c r="B35" t="s">
        <v>77</v>
      </c>
      <c r="C35" t="s">
        <v>75</v>
      </c>
    </row>
    <row r="36" spans="1:3">
      <c r="A36" t="s">
        <v>78</v>
      </c>
      <c r="B36" t="s">
        <v>79</v>
      </c>
      <c r="C36" t="s">
        <v>75</v>
      </c>
    </row>
    <row r="37" spans="1:3">
      <c r="A37" t="s">
        <v>80</v>
      </c>
      <c r="B37" t="s">
        <v>81</v>
      </c>
      <c r="C37" t="s">
        <v>82</v>
      </c>
    </row>
    <row r="38" spans="1:3">
      <c r="A38" t="s">
        <v>83</v>
      </c>
      <c r="B38" t="s">
        <v>84</v>
      </c>
      <c r="C38" t="s">
        <v>5</v>
      </c>
    </row>
    <row r="39" spans="1:3">
      <c r="A39" t="s">
        <v>85</v>
      </c>
      <c r="B39" t="s">
        <v>86</v>
      </c>
      <c r="C39" t="s">
        <v>5</v>
      </c>
    </row>
    <row r="40" spans="1:3">
      <c r="A40" t="s">
        <v>87</v>
      </c>
      <c r="B40" t="s">
        <v>88</v>
      </c>
      <c r="C40" t="s">
        <v>89</v>
      </c>
    </row>
    <row r="41" spans="1:3">
      <c r="A41" t="s">
        <v>90</v>
      </c>
      <c r="B41" t="s">
        <v>91</v>
      </c>
      <c r="C41" t="s">
        <v>92</v>
      </c>
    </row>
    <row r="42" spans="1:3">
      <c r="A42" t="s">
        <v>93</v>
      </c>
      <c r="B42" t="s">
        <v>94</v>
      </c>
      <c r="C42" t="s">
        <v>92</v>
      </c>
    </row>
    <row r="43" spans="1:3">
      <c r="A43" t="s">
        <v>95</v>
      </c>
      <c r="B43" t="s">
        <v>96</v>
      </c>
      <c r="C43" t="s">
        <v>92</v>
      </c>
    </row>
    <row r="44" spans="1:3">
      <c r="A44" t="s">
        <v>97</v>
      </c>
      <c r="B44" t="s">
        <v>98</v>
      </c>
      <c r="C44" t="s">
        <v>99</v>
      </c>
    </row>
    <row r="45" spans="1:3">
      <c r="A45" t="s">
        <v>100</v>
      </c>
      <c r="B45" t="s">
        <v>101</v>
      </c>
      <c r="C45" t="s">
        <v>99</v>
      </c>
    </row>
    <row r="46" spans="1:3">
      <c r="A46" t="s">
        <v>102</v>
      </c>
      <c r="B46" t="s">
        <v>103</v>
      </c>
      <c r="C46" t="s">
        <v>99</v>
      </c>
    </row>
    <row r="47" spans="1:3">
      <c r="A47" t="s">
        <v>104</v>
      </c>
      <c r="B47" t="s">
        <v>105</v>
      </c>
      <c r="C47" t="s">
        <v>5</v>
      </c>
    </row>
    <row r="48" spans="1:3">
      <c r="A48" t="s">
        <v>106</v>
      </c>
      <c r="B48" t="s">
        <v>107</v>
      </c>
      <c r="C48" t="s">
        <v>108</v>
      </c>
    </row>
    <row r="49" spans="1:3">
      <c r="A49" t="s">
        <v>109</v>
      </c>
      <c r="B49" t="s">
        <v>110</v>
      </c>
      <c r="C49" t="s">
        <v>111</v>
      </c>
    </row>
    <row r="50" spans="1:3">
      <c r="A50" t="s">
        <v>112</v>
      </c>
      <c r="B50" t="s">
        <v>113</v>
      </c>
      <c r="C50" t="s">
        <v>114</v>
      </c>
    </row>
    <row r="51" spans="1:3">
      <c r="A51" t="s">
        <v>115</v>
      </c>
      <c r="B51" t="s">
        <v>116</v>
      </c>
      <c r="C51" t="s">
        <v>117</v>
      </c>
    </row>
    <row r="52" spans="1:3">
      <c r="A52" t="s">
        <v>118</v>
      </c>
      <c r="B52" t="s">
        <v>119</v>
      </c>
      <c r="C52" t="s">
        <v>120</v>
      </c>
    </row>
    <row r="53" spans="1:3">
      <c r="A53" t="s">
        <v>121</v>
      </c>
      <c r="B53" t="s">
        <v>122</v>
      </c>
      <c r="C53" t="s">
        <v>99</v>
      </c>
    </row>
    <row r="54" spans="1:3">
      <c r="A54" t="s">
        <v>123</v>
      </c>
      <c r="B54" t="s">
        <v>124</v>
      </c>
      <c r="C54" t="s">
        <v>114</v>
      </c>
    </row>
    <row r="55" spans="1:3">
      <c r="A55" t="s">
        <v>125</v>
      </c>
      <c r="B55" t="s">
        <v>126</v>
      </c>
      <c r="C55" t="s">
        <v>114</v>
      </c>
    </row>
    <row r="56" spans="1:3">
      <c r="A56" t="s">
        <v>127</v>
      </c>
      <c r="B56" t="s">
        <v>128</v>
      </c>
      <c r="C56" t="s">
        <v>114</v>
      </c>
    </row>
    <row r="57" spans="1:3">
      <c r="A57" t="s">
        <v>129</v>
      </c>
      <c r="B57" t="s">
        <v>130</v>
      </c>
      <c r="C57" t="s">
        <v>40</v>
      </c>
    </row>
    <row r="58" spans="1:3">
      <c r="A58" t="s">
        <v>131</v>
      </c>
      <c r="B58" t="s">
        <v>132</v>
      </c>
      <c r="C58" t="s">
        <v>133</v>
      </c>
    </row>
    <row r="59" spans="1:3">
      <c r="A59" t="s">
        <v>134</v>
      </c>
      <c r="B59" t="s">
        <v>135</v>
      </c>
      <c r="C59" t="s">
        <v>136</v>
      </c>
    </row>
    <row r="60" spans="1:3">
      <c r="A60" t="s">
        <v>137</v>
      </c>
      <c r="B60" t="s">
        <v>138</v>
      </c>
      <c r="C60" t="s">
        <v>136</v>
      </c>
    </row>
    <row r="61" spans="1:3">
      <c r="A61" t="s">
        <v>139</v>
      </c>
      <c r="B61" t="s">
        <v>140</v>
      </c>
      <c r="C61" t="s">
        <v>136</v>
      </c>
    </row>
    <row r="62" spans="1:3">
      <c r="A62" t="s">
        <v>141</v>
      </c>
      <c r="B62" t="s">
        <v>142</v>
      </c>
      <c r="C62" t="s">
        <v>136</v>
      </c>
    </row>
    <row r="63" spans="1:3">
      <c r="A63" t="s">
        <v>143</v>
      </c>
      <c r="B63" t="s">
        <v>144</v>
      </c>
      <c r="C63" t="s">
        <v>145</v>
      </c>
    </row>
    <row r="64" spans="1:3">
      <c r="A64" t="s">
        <v>146</v>
      </c>
      <c r="B64" t="s">
        <v>147</v>
      </c>
      <c r="C64" t="s">
        <v>136</v>
      </c>
    </row>
    <row r="65" spans="1:3">
      <c r="A65" t="s">
        <v>148</v>
      </c>
      <c r="B65" t="s">
        <v>149</v>
      </c>
      <c r="C65" t="s">
        <v>136</v>
      </c>
    </row>
    <row r="66" spans="1:3">
      <c r="A66" t="s">
        <v>150</v>
      </c>
      <c r="B66" t="s">
        <v>151</v>
      </c>
      <c r="C66" t="s">
        <v>136</v>
      </c>
    </row>
    <row r="67" spans="1:3">
      <c r="A67" t="s">
        <v>152</v>
      </c>
      <c r="B67" t="s">
        <v>153</v>
      </c>
      <c r="C67" t="s">
        <v>136</v>
      </c>
    </row>
    <row r="68" spans="1:3">
      <c r="A68" t="s">
        <v>154</v>
      </c>
      <c r="B68" t="s">
        <v>155</v>
      </c>
      <c r="C68" t="s">
        <v>64</v>
      </c>
    </row>
    <row r="69" spans="1:3">
      <c r="A69" t="s">
        <v>156</v>
      </c>
      <c r="B69" t="s">
        <v>157</v>
      </c>
      <c r="C69" t="s">
        <v>64</v>
      </c>
    </row>
    <row r="70" spans="1:3">
      <c r="A70" t="s">
        <v>158</v>
      </c>
      <c r="B70" t="s">
        <v>159</v>
      </c>
      <c r="C70" t="s">
        <v>160</v>
      </c>
    </row>
    <row r="71" spans="1:3">
      <c r="A71" t="s">
        <v>161</v>
      </c>
      <c r="B71" t="s">
        <v>162</v>
      </c>
      <c r="C71" t="s">
        <v>163</v>
      </c>
    </row>
  </sheetData>
  <autoFilter ref="A1:C47" xr:uid="{8BFE7D09-E9B9-4BA3-B4FF-8FAED0E7DFA9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99BE-8CA0-4430-B014-398B7CC26F79}">
  <dimension ref="A1:D37"/>
  <sheetViews>
    <sheetView zoomScale="110" workbookViewId="0">
      <selection activeCell="E10" sqref="E10"/>
    </sheetView>
  </sheetViews>
  <sheetFormatPr defaultRowHeight="14.45"/>
  <cols>
    <col min="1" max="1" width="12.5703125" bestFit="1" customWidth="1"/>
    <col min="2" max="2" width="21.140625" bestFit="1" customWidth="1"/>
    <col min="3" max="4" width="6.7109375" bestFit="1" customWidth="1"/>
    <col min="5" max="5" width="11.5703125" bestFit="1" customWidth="1"/>
    <col min="6" max="6" width="13.5703125" bestFit="1" customWidth="1"/>
    <col min="7" max="7" width="13.7109375" bestFit="1" customWidth="1"/>
    <col min="8" max="8" width="16.140625" bestFit="1" customWidth="1"/>
    <col min="9" max="9" width="13.85546875" bestFit="1" customWidth="1"/>
    <col min="10" max="10" width="12.7109375" bestFit="1" customWidth="1"/>
    <col min="11" max="11" width="15" bestFit="1" customWidth="1"/>
    <col min="12" max="12" width="12.28515625" bestFit="1" customWidth="1"/>
    <col min="13" max="13" width="15.28515625" bestFit="1" customWidth="1"/>
    <col min="14" max="14" width="15.42578125" bestFit="1" customWidth="1"/>
    <col min="15" max="15" width="15.5703125" bestFit="1" customWidth="1"/>
    <col min="16" max="16" width="13.28515625" bestFit="1" customWidth="1"/>
    <col min="17" max="17" width="4.85546875" bestFit="1" customWidth="1"/>
    <col min="18" max="18" width="8" bestFit="1" customWidth="1"/>
    <col min="19" max="19" width="15.28515625" bestFit="1" customWidth="1"/>
    <col min="20" max="20" width="11.7109375" bestFit="1" customWidth="1"/>
    <col min="21" max="21" width="10.5703125" bestFit="1" customWidth="1"/>
    <col min="22" max="22" width="18.85546875" bestFit="1" customWidth="1"/>
    <col min="23" max="23" width="21.7109375" bestFit="1" customWidth="1"/>
    <col min="24" max="24" width="15.28515625" bestFit="1" customWidth="1"/>
    <col min="25" max="25" width="6.28515625" bestFit="1" customWidth="1"/>
    <col min="26" max="26" width="10.5703125" bestFit="1" customWidth="1"/>
    <col min="27" max="27" width="10.7109375" bestFit="1" customWidth="1"/>
    <col min="28" max="28" width="18.5703125" bestFit="1" customWidth="1"/>
    <col min="29" max="29" width="9.28515625" bestFit="1" customWidth="1"/>
    <col min="30" max="30" width="5.5703125" bestFit="1" customWidth="1"/>
    <col min="31" max="31" width="14.140625" bestFit="1" customWidth="1"/>
    <col min="32" max="32" width="11.7109375" bestFit="1" customWidth="1"/>
    <col min="33" max="33" width="16.140625" bestFit="1" customWidth="1"/>
    <col min="34" max="34" width="15.42578125" bestFit="1" customWidth="1"/>
    <col min="35" max="35" width="19.5703125" bestFit="1" customWidth="1"/>
    <col min="36" max="36" width="18.85546875" bestFit="1" customWidth="1"/>
    <col min="37" max="37" width="13.85546875" bestFit="1" customWidth="1"/>
  </cols>
  <sheetData>
    <row r="1" spans="1:4">
      <c r="A1" t="s">
        <v>0</v>
      </c>
      <c r="B1" t="s">
        <v>1</v>
      </c>
      <c r="C1" t="s">
        <v>164</v>
      </c>
      <c r="D1" t="s">
        <v>2</v>
      </c>
    </row>
    <row r="2" spans="1:4">
      <c r="A2" t="s">
        <v>3</v>
      </c>
      <c r="B2" s="1" t="s">
        <v>4</v>
      </c>
      <c r="C2" t="s">
        <v>165</v>
      </c>
      <c r="D2" t="s">
        <v>5</v>
      </c>
    </row>
    <row r="3" spans="1:4">
      <c r="A3" t="s">
        <v>6</v>
      </c>
      <c r="B3" s="1" t="s">
        <v>7</v>
      </c>
      <c r="C3" t="s">
        <v>165</v>
      </c>
      <c r="D3" t="s">
        <v>5</v>
      </c>
    </row>
    <row r="4" spans="1:4">
      <c r="A4" t="s">
        <v>8</v>
      </c>
      <c r="B4" s="1" t="s">
        <v>9</v>
      </c>
      <c r="C4" t="s">
        <v>165</v>
      </c>
      <c r="D4" t="s">
        <v>5</v>
      </c>
    </row>
    <row r="5" spans="1:4">
      <c r="A5" t="s">
        <v>10</v>
      </c>
      <c r="B5" s="1" t="s">
        <v>11</v>
      </c>
      <c r="C5" t="s">
        <v>165</v>
      </c>
      <c r="D5" t="s">
        <v>5</v>
      </c>
    </row>
    <row r="6" spans="1:4">
      <c r="A6" t="s">
        <v>12</v>
      </c>
      <c r="B6" s="1" t="s">
        <v>13</v>
      </c>
      <c r="C6" t="s">
        <v>165</v>
      </c>
      <c r="D6" t="s">
        <v>5</v>
      </c>
    </row>
    <row r="7" spans="1:4">
      <c r="A7" t="s">
        <v>14</v>
      </c>
      <c r="B7" s="1" t="s">
        <v>15</v>
      </c>
      <c r="C7" t="s">
        <v>165</v>
      </c>
      <c r="D7" t="s">
        <v>5</v>
      </c>
    </row>
    <row r="8" spans="1:4">
      <c r="A8" t="s">
        <v>16</v>
      </c>
      <c r="B8" s="1" t="s">
        <v>17</v>
      </c>
      <c r="C8" t="s">
        <v>165</v>
      </c>
      <c r="D8" t="s">
        <v>5</v>
      </c>
    </row>
    <row r="9" spans="1:4">
      <c r="A9" t="s">
        <v>18</v>
      </c>
      <c r="B9" s="1" t="s">
        <v>19</v>
      </c>
      <c r="C9" t="s">
        <v>165</v>
      </c>
      <c r="D9" t="s">
        <v>5</v>
      </c>
    </row>
    <row r="10" spans="1:4">
      <c r="A10" t="s">
        <v>20</v>
      </c>
      <c r="B10" s="1" t="s">
        <v>21</v>
      </c>
      <c r="C10" t="s">
        <v>165</v>
      </c>
      <c r="D10" t="s">
        <v>5</v>
      </c>
    </row>
    <row r="11" spans="1:4">
      <c r="A11" t="s">
        <v>22</v>
      </c>
      <c r="B11" s="1" t="s">
        <v>23</v>
      </c>
      <c r="C11" t="s">
        <v>165</v>
      </c>
      <c r="D11" t="s">
        <v>5</v>
      </c>
    </row>
    <row r="12" spans="1:4">
      <c r="A12" t="s">
        <v>24</v>
      </c>
      <c r="B12" s="1" t="s">
        <v>25</v>
      </c>
      <c r="C12" t="s">
        <v>166</v>
      </c>
      <c r="D12" t="s">
        <v>26</v>
      </c>
    </row>
    <row r="13" spans="1:4">
      <c r="A13" t="s">
        <v>27</v>
      </c>
      <c r="B13" s="1" t="s">
        <v>28</v>
      </c>
      <c r="C13" t="s">
        <v>166</v>
      </c>
      <c r="D13" t="s">
        <v>26</v>
      </c>
    </row>
    <row r="14" spans="1:4">
      <c r="A14" t="s">
        <v>29</v>
      </c>
      <c r="B14" s="1" t="s">
        <v>30</v>
      </c>
      <c r="C14" t="s">
        <v>166</v>
      </c>
      <c r="D14" t="s">
        <v>26</v>
      </c>
    </row>
    <row r="15" spans="1:4">
      <c r="A15" t="s">
        <v>31</v>
      </c>
      <c r="B15" s="1" t="s">
        <v>32</v>
      </c>
      <c r="C15" t="s">
        <v>166</v>
      </c>
      <c r="D15" t="s">
        <v>26</v>
      </c>
    </row>
    <row r="16" spans="1:4">
      <c r="A16" t="s">
        <v>33</v>
      </c>
      <c r="B16" s="1" t="s">
        <v>34</v>
      </c>
      <c r="C16" t="s">
        <v>166</v>
      </c>
      <c r="D16" t="s">
        <v>26</v>
      </c>
    </row>
    <row r="17" spans="1:4">
      <c r="A17" t="s">
        <v>35</v>
      </c>
      <c r="B17" s="1" t="s">
        <v>36</v>
      </c>
      <c r="C17" t="s">
        <v>165</v>
      </c>
      <c r="D17" t="s">
        <v>167</v>
      </c>
    </row>
    <row r="18" spans="1:4">
      <c r="A18" t="s">
        <v>38</v>
      </c>
      <c r="B18" s="1" t="s">
        <v>39</v>
      </c>
      <c r="C18" t="s">
        <v>166</v>
      </c>
      <c r="D18" t="s">
        <v>40</v>
      </c>
    </row>
    <row r="19" spans="1:4">
      <c r="A19" t="s">
        <v>41</v>
      </c>
      <c r="B19" s="1" t="s">
        <v>42</v>
      </c>
      <c r="C19" t="s">
        <v>166</v>
      </c>
      <c r="D19" t="s">
        <v>40</v>
      </c>
    </row>
    <row r="20" spans="1:4">
      <c r="A20" t="s">
        <v>43</v>
      </c>
      <c r="B20" s="1" t="s">
        <v>44</v>
      </c>
      <c r="C20" t="s">
        <v>166</v>
      </c>
      <c r="D20" t="s">
        <v>40</v>
      </c>
    </row>
    <row r="21" spans="1:4">
      <c r="A21" t="s">
        <v>45</v>
      </c>
      <c r="B21" s="1" t="s">
        <v>46</v>
      </c>
      <c r="C21" t="s">
        <v>166</v>
      </c>
      <c r="D21" t="s">
        <v>40</v>
      </c>
    </row>
    <row r="22" spans="1:4">
      <c r="A22" t="s">
        <v>47</v>
      </c>
      <c r="B22" s="1" t="s">
        <v>48</v>
      </c>
      <c r="C22" t="s">
        <v>165</v>
      </c>
      <c r="D22" t="s">
        <v>49</v>
      </c>
    </row>
    <row r="23" spans="1:4">
      <c r="A23" t="s">
        <v>50</v>
      </c>
      <c r="B23" s="1" t="s">
        <v>51</v>
      </c>
      <c r="C23" t="s">
        <v>165</v>
      </c>
      <c r="D23" t="s">
        <v>49</v>
      </c>
    </row>
    <row r="24" spans="1:4">
      <c r="A24" t="s">
        <v>52</v>
      </c>
      <c r="B24" s="1" t="s">
        <v>53</v>
      </c>
      <c r="C24" t="s">
        <v>165</v>
      </c>
      <c r="D24" t="s">
        <v>49</v>
      </c>
    </row>
    <row r="25" spans="1:4">
      <c r="A25" t="s">
        <v>54</v>
      </c>
      <c r="B25" s="1" t="s">
        <v>55</v>
      </c>
      <c r="C25" t="s">
        <v>165</v>
      </c>
      <c r="D25" t="s">
        <v>49</v>
      </c>
    </row>
    <row r="26" spans="1:4">
      <c r="A26" t="s">
        <v>56</v>
      </c>
      <c r="B26" s="1" t="s">
        <v>57</v>
      </c>
      <c r="C26" t="s">
        <v>165</v>
      </c>
      <c r="D26" t="s">
        <v>49</v>
      </c>
    </row>
    <row r="27" spans="1:4">
      <c r="A27" t="s">
        <v>58</v>
      </c>
      <c r="B27" s="1" t="s">
        <v>59</v>
      </c>
      <c r="C27" t="s">
        <v>165</v>
      </c>
      <c r="D27" t="s">
        <v>49</v>
      </c>
    </row>
    <row r="28" spans="1:4">
      <c r="A28" t="s">
        <v>60</v>
      </c>
      <c r="B28" s="1" t="s">
        <v>61</v>
      </c>
      <c r="C28" t="s">
        <v>166</v>
      </c>
      <c r="D28" t="s">
        <v>49</v>
      </c>
    </row>
    <row r="29" spans="1:4">
      <c r="A29" t="s">
        <v>62</v>
      </c>
      <c r="B29" s="1" t="s">
        <v>63</v>
      </c>
      <c r="C29" t="s">
        <v>166</v>
      </c>
      <c r="D29" t="s">
        <v>64</v>
      </c>
    </row>
    <row r="30" spans="1:4">
      <c r="A30" t="s">
        <v>65</v>
      </c>
      <c r="B30" s="1" t="s">
        <v>66</v>
      </c>
      <c r="C30" t="s">
        <v>166</v>
      </c>
      <c r="D30" t="s">
        <v>64</v>
      </c>
    </row>
    <row r="31" spans="1:4">
      <c r="A31" t="s">
        <v>67</v>
      </c>
      <c r="B31" s="1" t="s">
        <v>68</v>
      </c>
      <c r="C31" t="s">
        <v>165</v>
      </c>
      <c r="D31" t="s">
        <v>5</v>
      </c>
    </row>
    <row r="32" spans="1:4">
      <c r="A32" t="s">
        <v>69</v>
      </c>
      <c r="B32" s="1" t="s">
        <v>70</v>
      </c>
      <c r="C32" t="s">
        <v>165</v>
      </c>
      <c r="D32" t="s">
        <v>5</v>
      </c>
    </row>
    <row r="33" spans="1:4">
      <c r="A33" t="s">
        <v>71</v>
      </c>
      <c r="B33" s="1" t="s">
        <v>72</v>
      </c>
      <c r="C33" t="s">
        <v>165</v>
      </c>
      <c r="D33" t="s">
        <v>49</v>
      </c>
    </row>
    <row r="34" spans="1:4">
      <c r="A34" t="s">
        <v>73</v>
      </c>
      <c r="B34" s="1" t="s">
        <v>74</v>
      </c>
      <c r="C34" t="s">
        <v>166</v>
      </c>
      <c r="D34" t="s">
        <v>75</v>
      </c>
    </row>
    <row r="35" spans="1:4">
      <c r="A35" t="s">
        <v>76</v>
      </c>
      <c r="B35" s="1" t="s">
        <v>77</v>
      </c>
      <c r="C35" t="s">
        <v>166</v>
      </c>
      <c r="D35" t="s">
        <v>75</v>
      </c>
    </row>
    <row r="36" spans="1:4">
      <c r="A36" t="s">
        <v>78</v>
      </c>
      <c r="B36" s="1" t="s">
        <v>79</v>
      </c>
      <c r="C36" t="s">
        <v>166</v>
      </c>
      <c r="D36" t="s">
        <v>75</v>
      </c>
    </row>
    <row r="37" spans="1:4">
      <c r="A37" t="s">
        <v>80</v>
      </c>
      <c r="B37" s="1" t="s">
        <v>81</v>
      </c>
      <c r="C37" t="s">
        <v>166</v>
      </c>
      <c r="D37" t="s">
        <v>82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314E-F3F7-422D-AD86-38F87EFC4F08}">
  <dimension ref="A1:D12"/>
  <sheetViews>
    <sheetView zoomScale="148" workbookViewId="0">
      <selection activeCell="B10" sqref="B10"/>
    </sheetView>
  </sheetViews>
  <sheetFormatPr defaultRowHeight="14.45"/>
  <cols>
    <col min="2" max="2" width="16.140625" bestFit="1" customWidth="1"/>
    <col min="3" max="3" width="16.140625" customWidth="1"/>
    <col min="4" max="4" width="9.85546875" bestFit="1" customWidth="1"/>
    <col min="5" max="5" width="9.42578125" bestFit="1" customWidth="1"/>
    <col min="6" max="6" width="6.7109375" bestFit="1" customWidth="1"/>
    <col min="7" max="7" width="11.5703125" bestFit="1" customWidth="1"/>
    <col min="8" max="8" width="13.5703125" bestFit="1" customWidth="1"/>
    <col min="9" max="9" width="16.140625" bestFit="1" customWidth="1"/>
    <col min="10" max="10" width="16" bestFit="1" customWidth="1"/>
    <col min="11" max="11" width="16.140625" bestFit="1" customWidth="1"/>
    <col min="12" max="12" width="15.42578125" bestFit="1" customWidth="1"/>
  </cols>
  <sheetData>
    <row r="1" spans="1:4">
      <c r="A1" t="s">
        <v>0</v>
      </c>
      <c r="B1" t="s">
        <v>1</v>
      </c>
      <c r="C1" t="s">
        <v>164</v>
      </c>
      <c r="D1" t="s">
        <v>2</v>
      </c>
    </row>
    <row r="2" spans="1:4">
      <c r="A2" t="str">
        <f>+INDEX('Dizionario campi'!A:A,MATCH(B2,'Dizionario campi'!B:B,0),1)</f>
        <v>D1</v>
      </c>
      <c r="B2" s="1" t="s">
        <v>4</v>
      </c>
      <c r="C2" s="2" t="s">
        <v>165</v>
      </c>
      <c r="D2" t="str">
        <f>+INDEX('Dizionario campi'!C:C,MATCH(B2,'Dizionario campi'!B:B,0),1)</f>
        <v>J2</v>
      </c>
    </row>
    <row r="3" spans="1:4">
      <c r="A3" t="str">
        <f>+INDEX('Dizionario campi'!A:A,MATCH(B3,'Dizionario campi'!B:B,0),1)</f>
        <v>D9</v>
      </c>
      <c r="B3" s="1" t="s">
        <v>21</v>
      </c>
      <c r="C3" s="2" t="s">
        <v>165</v>
      </c>
      <c r="D3" t="str">
        <f>+INDEX('Dizionario campi'!C:C,MATCH(B3,'Dizionario campi'!B:B,0),1)</f>
        <v>J2</v>
      </c>
    </row>
    <row r="4" spans="1:4">
      <c r="A4" t="str">
        <f>+INDEX('Dizionario campi'!A:A,MATCH(B4,'Dizionario campi'!B:B,0),1)</f>
        <v>D37</v>
      </c>
      <c r="B4" s="1" t="s">
        <v>84</v>
      </c>
      <c r="C4" s="2" t="s">
        <v>165</v>
      </c>
      <c r="D4" t="str">
        <f>+INDEX('Dizionario campi'!C:C,MATCH(B4,'Dizionario campi'!B:B,0),1)</f>
        <v>J2</v>
      </c>
    </row>
    <row r="5" spans="1:4">
      <c r="A5" t="str">
        <f>+INDEX('Dizionario campi'!A:A,MATCH(B5,'Dizionario campi'!B:B,0),1)</f>
        <v>D2</v>
      </c>
      <c r="B5" s="1" t="s">
        <v>7</v>
      </c>
      <c r="C5" s="2" t="s">
        <v>165</v>
      </c>
      <c r="D5" t="str">
        <f>+INDEX('Dizionario campi'!C:C,MATCH(B5,'Dizionario campi'!B:B,0),1)</f>
        <v>J2</v>
      </c>
    </row>
    <row r="6" spans="1:4">
      <c r="A6" t="str">
        <f>+INDEX('Dizionario campi'!A:A,MATCH(B6,'Dizionario campi'!B:B,0),1)</f>
        <v>D3</v>
      </c>
      <c r="B6" s="1" t="s">
        <v>9</v>
      </c>
      <c r="C6" s="2" t="s">
        <v>165</v>
      </c>
      <c r="D6" t="str">
        <f>+INDEX('Dizionario campi'!C:C,MATCH(B6,'Dizionario campi'!B:B,0),1)</f>
        <v>J2</v>
      </c>
    </row>
    <row r="7" spans="1:4">
      <c r="A7" t="str">
        <f>+INDEX('Dizionario campi'!A:A,MATCH(B7,'Dizionario campi'!B:B,0),1)</f>
        <v>D4</v>
      </c>
      <c r="B7" s="1" t="s">
        <v>11</v>
      </c>
      <c r="C7" s="2" t="s">
        <v>165</v>
      </c>
      <c r="D7" t="str">
        <f>+INDEX('Dizionario campi'!C:C,MATCH(B7,'Dizionario campi'!B:B,0),1)</f>
        <v>J2</v>
      </c>
    </row>
    <row r="8" spans="1:4">
      <c r="A8" t="str">
        <f>+INDEX('Dizionario campi'!A:A,MATCH(B8,'Dizionario campi'!B:B,0),1)</f>
        <v>D5</v>
      </c>
      <c r="B8" s="1" t="s">
        <v>13</v>
      </c>
      <c r="C8" s="2" t="s">
        <v>165</v>
      </c>
      <c r="D8" t="str">
        <f>+INDEX('Dizionario campi'!C:C,MATCH(B8,'Dizionario campi'!B:B,0),1)</f>
        <v>J2</v>
      </c>
    </row>
    <row r="9" spans="1:4">
      <c r="A9" t="str">
        <f>+INDEX('Dizionario campi'!A:A,MATCH(B9,'Dizionario campi'!B:B,0),1)</f>
        <v>D7</v>
      </c>
      <c r="B9" s="1" t="s">
        <v>17</v>
      </c>
      <c r="C9" s="2" t="s">
        <v>165</v>
      </c>
      <c r="D9" t="str">
        <f>+INDEX('Dizionario campi'!C:C,MATCH(B9,'Dizionario campi'!B:B,0),1)</f>
        <v>J2</v>
      </c>
    </row>
    <row r="10" spans="1:4">
      <c r="A10" t="str">
        <f>+INDEX('Dizionario campi'!A:A,MATCH(B10,'Dizionario campi'!B:B,0),1)</f>
        <v>D38</v>
      </c>
      <c r="B10" s="1" t="s">
        <v>86</v>
      </c>
      <c r="C10" s="2" t="s">
        <v>165</v>
      </c>
      <c r="D10" t="str">
        <f>+INDEX('Dizionario campi'!C:C,MATCH(B10,'Dizionario campi'!B:B,0),1)</f>
        <v>J2</v>
      </c>
    </row>
    <row r="11" spans="1:4">
      <c r="A11" t="str">
        <f>+INDEX('Dizionario campi'!A:A,MATCH(B11,'Dizionario campi'!B:B,0),1)</f>
        <v>D32</v>
      </c>
      <c r="B11" s="1" t="s">
        <v>72</v>
      </c>
      <c r="C11" s="2" t="s">
        <v>165</v>
      </c>
      <c r="D11" t="str">
        <f>+INDEX('Dizionario campi'!C:C,MATCH(B11,'Dizionario campi'!B:B,0),1)</f>
        <v>O1</v>
      </c>
    </row>
    <row r="12" spans="1:4">
      <c r="A12" t="str">
        <f>+INDEX('Dizionario campi'!A:A,MATCH(B12,'Dizionario campi'!B:B,0),1)</f>
        <v>D33</v>
      </c>
      <c r="B12" s="1" t="s">
        <v>74</v>
      </c>
      <c r="C12" s="2" t="s">
        <v>166</v>
      </c>
      <c r="D12" t="str">
        <f>+INDEX('Dizionario campi'!C:C,MATCH(B12,'Dizionario campi'!B:B,0),1)</f>
        <v>T5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07EA-CD8C-4A1E-8285-72B42D47C995}">
  <dimension ref="A1:D11"/>
  <sheetViews>
    <sheetView workbookViewId="0">
      <selection activeCell="C21" sqref="C21"/>
    </sheetView>
  </sheetViews>
  <sheetFormatPr defaultRowHeight="14.45"/>
  <cols>
    <col min="2" max="2" width="22.42578125" bestFit="1" customWidth="1"/>
    <col min="3" max="3" width="16.28515625" bestFit="1" customWidth="1"/>
    <col min="4" max="4" width="18.42578125" bestFit="1" customWidth="1"/>
    <col min="5" max="5" width="41" bestFit="1" customWidth="1"/>
    <col min="6" max="6" width="55.7109375" bestFit="1" customWidth="1"/>
    <col min="7" max="7" width="40.7109375" bestFit="1" customWidth="1"/>
    <col min="8" max="8" width="55.7109375" bestFit="1" customWidth="1"/>
    <col min="9" max="9" width="12.7109375" bestFit="1" customWidth="1"/>
    <col min="10" max="10" width="14.140625" bestFit="1" customWidth="1"/>
  </cols>
  <sheetData>
    <row r="1" spans="1:4">
      <c r="A1" t="s">
        <v>0</v>
      </c>
      <c r="B1" t="s">
        <v>1</v>
      </c>
      <c r="C1" t="s">
        <v>164</v>
      </c>
      <c r="D1" t="s">
        <v>2</v>
      </c>
    </row>
    <row r="2" spans="1:4">
      <c r="A2" t="str">
        <f>+INDEX('Dizionario campi'!A:A,MATCH(B2,'Dizionario campi'!B:B,0),1)</f>
        <v>D1</v>
      </c>
      <c r="B2" s="1" t="s">
        <v>168</v>
      </c>
      <c r="C2" t="s">
        <v>165</v>
      </c>
      <c r="D2" t="str">
        <f>+INDEX('Dizionario campi'!C:C,MATCH(B2,'Dizionario campi'!B:B,0),1)</f>
        <v>J2</v>
      </c>
    </row>
    <row r="3" spans="1:4">
      <c r="A3" t="str">
        <f>+INDEX('Dizionario campi'!A:A,MATCH(B3,'Dizionario campi'!B:B,0),1)</f>
        <v>D39</v>
      </c>
      <c r="B3" s="1" t="s">
        <v>88</v>
      </c>
      <c r="C3" t="s">
        <v>166</v>
      </c>
      <c r="D3" t="str">
        <f>+INDEX('Dizionario campi'!C:C,MATCH(B3,'Dizionario campi'!B:B,0),1)</f>
        <v>T7</v>
      </c>
    </row>
    <row r="4" spans="1:4">
      <c r="A4" t="str">
        <f>+INDEX('Dizionario campi'!A:A,MATCH(B4,'Dizionario campi'!B:B,0),1)</f>
        <v>D40</v>
      </c>
      <c r="B4" s="1" t="s">
        <v>91</v>
      </c>
      <c r="C4" t="s">
        <v>166</v>
      </c>
      <c r="D4" t="str">
        <f>+INDEX('Dizionario campi'!C:C,MATCH(B4,'Dizionario campi'!B:B,0),1)</f>
        <v>J3</v>
      </c>
    </row>
    <row r="5" spans="1:4">
      <c r="A5" t="str">
        <f>+INDEX('Dizionario campi'!A:A,MATCH(B5,'Dizionario campi'!B:B,0),1)</f>
        <v>D41</v>
      </c>
      <c r="B5" s="1" t="s">
        <v>94</v>
      </c>
      <c r="C5" t="s">
        <v>166</v>
      </c>
      <c r="D5" t="str">
        <f>+INDEX('Dizionario campi'!C:C,MATCH(B5,'Dizionario campi'!B:B,0),1)</f>
        <v>J3</v>
      </c>
    </row>
    <row r="6" spans="1:4">
      <c r="A6" t="str">
        <f>+INDEX('Dizionario campi'!A:A,MATCH(B6,'Dizionario campi'!B:B,0),1)</f>
        <v>D42</v>
      </c>
      <c r="B6" s="1" t="s">
        <v>96</v>
      </c>
      <c r="C6" t="s">
        <v>166</v>
      </c>
      <c r="D6" t="str">
        <f>+INDEX('Dizionario campi'!C:C,MATCH(B6,'Dizionario campi'!B:B,0),1)</f>
        <v>J3</v>
      </c>
    </row>
    <row r="7" spans="1:4">
      <c r="A7" t="str">
        <f>+INDEX('Dizionario campi'!A:A,MATCH(B7,'Dizionario campi'!B:B,0),1)</f>
        <v>D43</v>
      </c>
      <c r="B7" s="1" t="s">
        <v>98</v>
      </c>
      <c r="C7" t="s">
        <v>166</v>
      </c>
      <c r="D7" t="str">
        <f>+INDEX('Dizionario campi'!C:C,MATCH(B7,'Dizionario campi'!B:B,0),1)</f>
        <v>T11</v>
      </c>
    </row>
    <row r="8" spans="1:4">
      <c r="A8" t="str">
        <f>+INDEX('Dizionario campi'!A:A,MATCH(B8,'Dizionario campi'!B:B,0),1)</f>
        <v>D44</v>
      </c>
      <c r="B8" s="1" t="s">
        <v>101</v>
      </c>
      <c r="C8" t="s">
        <v>166</v>
      </c>
      <c r="D8" t="str">
        <f>+INDEX('Dizionario campi'!C:C,MATCH(B8,'Dizionario campi'!B:B,0),1)</f>
        <v>T11</v>
      </c>
    </row>
    <row r="9" spans="1:4">
      <c r="A9" t="str">
        <f>+INDEX('Dizionario campi'!A:A,MATCH(B9,'Dizionario campi'!B:B,0),1)</f>
        <v>D45</v>
      </c>
      <c r="B9" s="1" t="s">
        <v>103</v>
      </c>
      <c r="C9" t="s">
        <v>166</v>
      </c>
      <c r="D9" t="str">
        <f>+INDEX('Dizionario campi'!C:C,MATCH(B9,'Dizionario campi'!B:B,0),1)</f>
        <v>T11</v>
      </c>
    </row>
    <row r="10" spans="1:4">
      <c r="A10" t="str">
        <f>+INDEX('Dizionario campi'!A:A,MATCH(B10,'Dizionario campi'!B:B,0),1)</f>
        <v>D9</v>
      </c>
      <c r="B10" s="1" t="s">
        <v>21</v>
      </c>
      <c r="C10" t="s">
        <v>165</v>
      </c>
      <c r="D10" t="str">
        <f>+INDEX('Dizionario campi'!C:C,MATCH(B10,'Dizionario campi'!B:B,0),1)</f>
        <v>J2</v>
      </c>
    </row>
    <row r="11" spans="1:4">
      <c r="A11" t="str">
        <f>+INDEX('Dizionario campi'!A:A,MATCH(B11,'Dizionario campi'!B:B,0),1)</f>
        <v>D46</v>
      </c>
      <c r="B11" s="1" t="s">
        <v>105</v>
      </c>
      <c r="C11" t="s">
        <v>166</v>
      </c>
      <c r="D11" t="str">
        <f>+INDEX('Dizionario campi'!C:C,MATCH(B11,'Dizionario campi'!B:B,0),1)</f>
        <v>J2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5352-1C50-4618-99AB-C2B1A8E95EAC}">
  <dimension ref="A1:D23"/>
  <sheetViews>
    <sheetView zoomScale="160" workbookViewId="0">
      <selection activeCell="E16" sqref="E16"/>
    </sheetView>
  </sheetViews>
  <sheetFormatPr defaultRowHeight="14.45"/>
  <cols>
    <col min="1" max="1" width="6.7109375" bestFit="1" customWidth="1"/>
    <col min="2" max="2" width="22.28515625" bestFit="1" customWidth="1"/>
    <col min="3" max="3" width="13.42578125" customWidth="1"/>
    <col min="4" max="4" width="11.7109375" bestFit="1" customWidth="1"/>
    <col min="5" max="5" width="16.5703125" bestFit="1" customWidth="1"/>
    <col min="6" max="6" width="5.140625" bestFit="1" customWidth="1"/>
    <col min="7" max="7" width="7.28515625" bestFit="1" customWidth="1"/>
    <col min="8" max="8" width="12.42578125" bestFit="1" customWidth="1"/>
    <col min="9" max="9" width="23.28515625" bestFit="1" customWidth="1"/>
    <col min="10" max="10" width="6" bestFit="1" customWidth="1"/>
    <col min="11" max="11" width="5.28515625" bestFit="1" customWidth="1"/>
    <col min="12" max="12" width="8" bestFit="1" customWidth="1"/>
    <col min="14" max="14" width="21.28515625" bestFit="1" customWidth="1"/>
    <col min="15" max="15" width="19.42578125" bestFit="1" customWidth="1"/>
    <col min="16" max="16" width="13.42578125" bestFit="1" customWidth="1"/>
    <col min="17" max="17" width="9.85546875" bestFit="1" customWidth="1"/>
    <col min="18" max="18" width="6.28515625" bestFit="1" customWidth="1"/>
    <col min="19" max="19" width="13.28515625" bestFit="1" customWidth="1"/>
    <col min="20" max="20" width="13.85546875" bestFit="1" customWidth="1"/>
    <col min="21" max="21" width="19.5703125" bestFit="1" customWidth="1"/>
    <col min="22" max="22" width="18.85546875" bestFit="1" customWidth="1"/>
  </cols>
  <sheetData>
    <row r="1" spans="1:4">
      <c r="A1" t="s">
        <v>0</v>
      </c>
      <c r="B1" t="s">
        <v>1</v>
      </c>
      <c r="C1" t="s">
        <v>164</v>
      </c>
      <c r="D1" t="s">
        <v>2</v>
      </c>
    </row>
    <row r="2" spans="1:4">
      <c r="A2" t="str">
        <f>+INDEX('Dizionario campi'!A:A,MATCH(B2,'Dizionario campi'!B:B,0),1)</f>
        <v>D3</v>
      </c>
      <c r="B2" s="1" t="s">
        <v>9</v>
      </c>
      <c r="C2" t="s">
        <v>166</v>
      </c>
      <c r="D2" t="s">
        <v>64</v>
      </c>
    </row>
    <row r="3" spans="1:4">
      <c r="A3" t="str">
        <f>+INDEX('Dizionario campi'!A:A,MATCH(B3,'Dizionario campi'!B:B,0),1)</f>
        <v>D28</v>
      </c>
      <c r="B3" s="1" t="s">
        <v>63</v>
      </c>
      <c r="C3" t="s">
        <v>166</v>
      </c>
      <c r="D3" t="str">
        <f>+INDEX('Dizionario campi'!C:C,MATCH(B3,'Dizionario campi'!B:B,0),1)</f>
        <v>T13</v>
      </c>
    </row>
    <row r="4" spans="1:4">
      <c r="A4" t="str">
        <f>+INDEX('Dizionario campi'!A:A,MATCH(B4,'Dizionario campi'!B:B,0),1)</f>
        <v>D29</v>
      </c>
      <c r="B4" s="1" t="s">
        <v>66</v>
      </c>
      <c r="C4" t="s">
        <v>166</v>
      </c>
      <c r="D4" t="str">
        <f>+INDEX('Dizionario campi'!C:C,MATCH(B4,'Dizionario campi'!B:B,0),1)</f>
        <v>T13</v>
      </c>
    </row>
    <row r="5" spans="1:4">
      <c r="A5" t="str">
        <f>+INDEX('Dizionario campi'!A:A,MATCH(B5,'Dizionario campi'!B:B,0),1)</f>
        <v>D56</v>
      </c>
      <c r="B5" s="1" t="s">
        <v>130</v>
      </c>
      <c r="C5" t="s">
        <v>166</v>
      </c>
      <c r="D5" t="str">
        <f>+INDEX('Dizionario campi'!C:C,MATCH(B5,'Dizionario campi'!B:B,0),1)</f>
        <v>S1</v>
      </c>
    </row>
    <row r="6" spans="1:4">
      <c r="A6" t="str">
        <f>+INDEX('Dizionario campi'!A:A,MATCH(B6,'Dizionario campi'!B:B,0),1)</f>
        <v>D10</v>
      </c>
      <c r="B6" s="1" t="s">
        <v>23</v>
      </c>
      <c r="C6" t="s">
        <v>165</v>
      </c>
      <c r="D6" t="str">
        <f>+INDEX('Dizionario campi'!C:C,MATCH(B6,'Dizionario campi'!B:B,0),1)</f>
        <v>J2</v>
      </c>
    </row>
    <row r="7" spans="1:4">
      <c r="A7" t="str">
        <f>+INDEX('Dizionario campi'!A:A,MATCH(B7,'Dizionario campi'!B:B,0),1)</f>
        <v>D70</v>
      </c>
      <c r="B7" s="1" t="s">
        <v>162</v>
      </c>
      <c r="C7" t="s">
        <v>166</v>
      </c>
      <c r="D7" t="str">
        <f>+INDEX('Dizionario campi'!C:C,MATCH(B7,'Dizionario campi'!B:B,0),1)</f>
        <v>T9</v>
      </c>
    </row>
    <row r="8" spans="1:4">
      <c r="A8" t="str">
        <f>+INDEX('Dizionario campi'!A:A,MATCH(B8,'Dizionario campi'!B:B,0),1)</f>
        <v>D19</v>
      </c>
      <c r="B8" s="1" t="s">
        <v>44</v>
      </c>
      <c r="C8" t="s">
        <v>165</v>
      </c>
      <c r="D8" t="str">
        <f>+INDEX('Dizionario campi'!C:C,MATCH(B8,'Dizionario campi'!B:B,0),1)</f>
        <v>S1</v>
      </c>
    </row>
    <row r="9" spans="1:4">
      <c r="A9" t="str">
        <f>+INDEX('Dizionario campi'!A:A,MATCH(B9,'Dizionario campi'!B:B,0),1)</f>
        <v>D16</v>
      </c>
      <c r="B9" s="1" t="s">
        <v>36</v>
      </c>
      <c r="C9" t="s">
        <v>165</v>
      </c>
      <c r="D9" t="s">
        <v>40</v>
      </c>
    </row>
    <row r="10" spans="1:4">
      <c r="A10" t="str">
        <f>+INDEX('Dizionario campi'!A:A,MATCH(B10,'Dizionario campi'!B:B,0),1)</f>
        <v>D18</v>
      </c>
      <c r="B10" s="1" t="s">
        <v>169</v>
      </c>
      <c r="C10" t="s">
        <v>165</v>
      </c>
      <c r="D10" t="str">
        <f>+INDEX('Dizionario campi'!C:C,MATCH(B10,'Dizionario campi'!B:B,0),1)</f>
        <v>S1</v>
      </c>
    </row>
    <row r="11" spans="1:4">
      <c r="A11" t="str">
        <f>+INDEX('Dizionario campi'!A:A,MATCH(B11,'Dizionario campi'!B:B,0),1)</f>
        <v>D47</v>
      </c>
      <c r="B11" s="1" t="s">
        <v>107</v>
      </c>
      <c r="C11" t="s">
        <v>165</v>
      </c>
      <c r="D11" t="str">
        <f>+INDEX('Dizionario campi'!C:C,MATCH(B11,'Dizionario campi'!B:B,0),1)</f>
        <v>S2</v>
      </c>
    </row>
    <row r="12" spans="1:4">
      <c r="A12" t="str">
        <f>+INDEX('Dizionario campi'!A:A,MATCH(B12,'Dizionario campi'!B:B,0),1)</f>
        <v>D48</v>
      </c>
      <c r="B12" s="1" t="s">
        <v>110</v>
      </c>
      <c r="C12" t="s">
        <v>165</v>
      </c>
      <c r="D12" t="str">
        <f>+INDEX('Dizionario campi'!C:C,MATCH(B12,'Dizionario campi'!B:B,0),1)</f>
        <v>S3</v>
      </c>
    </row>
    <row r="13" spans="1:4">
      <c r="A13" t="str">
        <f>+INDEX('Dizionario campi'!A:A,MATCH(B13,'Dizionario campi'!B:B,0),1)</f>
        <v>D49</v>
      </c>
      <c r="B13" s="1" t="s">
        <v>113</v>
      </c>
      <c r="C13" t="s">
        <v>166</v>
      </c>
      <c r="D13" t="str">
        <f>+INDEX('Dizionario campi'!C:C,MATCH(B13,'Dizionario campi'!B:B,0),1)</f>
        <v>P4O3</v>
      </c>
    </row>
    <row r="14" spans="1:4">
      <c r="A14" t="str">
        <f>+INDEX('Dizionario campi'!A:A,MATCH(B14,'Dizionario campi'!B:B,0),1)</f>
        <v>D50</v>
      </c>
      <c r="B14" s="1" t="s">
        <v>116</v>
      </c>
      <c r="C14" t="s">
        <v>165</v>
      </c>
      <c r="D14" t="str">
        <f>+INDEX('Dizionario campi'!C:C,MATCH(B14,'Dizionario campi'!B:B,0),1)</f>
        <v>S4</v>
      </c>
    </row>
    <row r="15" spans="1:4">
      <c r="A15" t="str">
        <f>+INDEX('Dizionario campi'!A:A,MATCH(B15,'Dizionario campi'!B:B,0),1)</f>
        <v>D51</v>
      </c>
      <c r="B15" s="1" t="s">
        <v>119</v>
      </c>
      <c r="C15" t="s">
        <v>166</v>
      </c>
      <c r="D15" t="str">
        <f>+INDEX('Dizionario campi'!C:C,MATCH(B15,'Dizionario campi'!B:B,0),1)</f>
        <v>T10</v>
      </c>
    </row>
    <row r="16" spans="1:4">
      <c r="A16" t="str">
        <f>+INDEX('Dizionario campi'!A:A,MATCH(B16,'Dizionario campi'!B:B,0),1)</f>
        <v>D52</v>
      </c>
      <c r="B16" s="1" t="s">
        <v>122</v>
      </c>
      <c r="C16" t="s">
        <v>166</v>
      </c>
      <c r="D16" t="str">
        <f>+INDEX('Dizionario campi'!C:C,MATCH(B16,'Dizionario campi'!B:B,0),1)</f>
        <v>T11</v>
      </c>
    </row>
    <row r="17" spans="1:4">
      <c r="A17" t="str">
        <f>+INDEX('Dizionario campi'!A:A,MATCH(B17,'Dizionario campi'!B:B,0),1)</f>
        <v>D53</v>
      </c>
      <c r="B17" s="1" t="s">
        <v>124</v>
      </c>
      <c r="C17" t="s">
        <v>166</v>
      </c>
      <c r="D17" t="str">
        <f>+INDEX('Dizionario campi'!C:C,MATCH(B17,'Dizionario campi'!B:B,0),1)</f>
        <v>P4O3</v>
      </c>
    </row>
    <row r="18" spans="1:4">
      <c r="A18" t="str">
        <f>+INDEX('Dizionario campi'!A:A,MATCH(B18,'Dizionario campi'!B:B,0),1)</f>
        <v>D54</v>
      </c>
      <c r="B18" s="1" t="s">
        <v>126</v>
      </c>
      <c r="C18" t="s">
        <v>166</v>
      </c>
      <c r="D18" t="str">
        <f>+INDEX('Dizionario campi'!C:C,MATCH(B18,'Dizionario campi'!B:B,0),1)</f>
        <v>P4O3</v>
      </c>
    </row>
    <row r="19" spans="1:4">
      <c r="A19" t="str">
        <f>+INDEX('Dizionario campi'!A:A,MATCH(B19,'Dizionario campi'!B:B,0),1)</f>
        <v>D55</v>
      </c>
      <c r="B19" s="1" t="s">
        <v>128</v>
      </c>
      <c r="C19" t="s">
        <v>166</v>
      </c>
      <c r="D19" t="str">
        <f>+INDEX('Dizionario campi'!C:C,MATCH(B19,'Dizionario campi'!B:B,0),1)</f>
        <v>P4O3</v>
      </c>
    </row>
    <row r="20" spans="1:4">
      <c r="A20" t="str">
        <f>+INDEX('Dizionario campi'!A:A,MATCH(B20,'Dizionario campi'!B:B,0),1)</f>
        <v>D17</v>
      </c>
      <c r="B20" s="1" t="s">
        <v>39</v>
      </c>
      <c r="C20" t="s">
        <v>166</v>
      </c>
      <c r="D20" t="str">
        <f>+INDEX('Dizionario campi'!C:C,MATCH(B20,'Dizionario campi'!B:B,0),1)</f>
        <v>S1</v>
      </c>
    </row>
    <row r="21" spans="1:4">
      <c r="A21" t="str">
        <f>+INDEX('Dizionario campi'!A:A,MATCH(B21,'Dizionario campi'!B:B,0),1)</f>
        <v>D36</v>
      </c>
      <c r="B21" s="1" t="s">
        <v>81</v>
      </c>
      <c r="C21" t="s">
        <v>166</v>
      </c>
      <c r="D21" t="str">
        <f>+INDEX('Dizionario campi'!C:C,MATCH(B21,'Dizionario campi'!B:B,0),1)</f>
        <v>T6</v>
      </c>
    </row>
    <row r="22" spans="1:4">
      <c r="A22" t="str">
        <f>+INDEX('Dizionario campi'!A:A,MATCH(B22,'Dizionario campi'!B:B,0),1)</f>
        <v>D34</v>
      </c>
      <c r="B22" s="1" t="s">
        <v>77</v>
      </c>
      <c r="C22" t="s">
        <v>166</v>
      </c>
      <c r="D22" t="str">
        <f>+INDEX('Dizionario campi'!C:C,MATCH(B22,'Dizionario campi'!B:B,0),1)</f>
        <v>T5</v>
      </c>
    </row>
    <row r="23" spans="1:4">
      <c r="A23" t="str">
        <f>+INDEX('Dizionario campi'!A:A,MATCH(B23,'Dizionario campi'!B:B,0),1)</f>
        <v>D35</v>
      </c>
      <c r="B23" s="1" t="s">
        <v>79</v>
      </c>
      <c r="C23" t="s">
        <v>166</v>
      </c>
      <c r="D23" t="str">
        <f>+INDEX('Dizionario campi'!C:C,MATCH(B23,'Dizionario campi'!B:B,0),1)</f>
        <v>T5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F46A-F587-4C10-A62B-53EFA3809ABC}">
  <dimension ref="A1:D6"/>
  <sheetViews>
    <sheetView workbookViewId="0">
      <selection activeCell="D24" sqref="D24"/>
    </sheetView>
  </sheetViews>
  <sheetFormatPr defaultRowHeight="14.45"/>
  <cols>
    <col min="1" max="1" width="6.7109375" bestFit="1" customWidth="1"/>
    <col min="2" max="2" width="14.85546875" bestFit="1" customWidth="1"/>
    <col min="3" max="3" width="10.7109375" bestFit="1" customWidth="1"/>
    <col min="4" max="4" width="7.28515625" bestFit="1" customWidth="1"/>
    <col min="5" max="5" width="7.85546875" bestFit="1" customWidth="1"/>
  </cols>
  <sheetData>
    <row r="1" spans="1:4">
      <c r="A1" t="s">
        <v>0</v>
      </c>
      <c r="B1" t="s">
        <v>1</v>
      </c>
      <c r="C1" t="s">
        <v>164</v>
      </c>
      <c r="D1" t="s">
        <v>2</v>
      </c>
    </row>
    <row r="2" spans="1:4">
      <c r="A2" t="str">
        <f>+INDEX('Dizionario campi'!A:A,MATCH(B2,'Dizionario campi'!B:B,0),1)</f>
        <v>D3</v>
      </c>
      <c r="B2" s="1" t="s">
        <v>9</v>
      </c>
      <c r="C2" t="s">
        <v>165</v>
      </c>
      <c r="D2" t="s">
        <v>133</v>
      </c>
    </row>
    <row r="3" spans="1:4">
      <c r="A3" t="str">
        <f>+INDEX('Dizionario campi'!A:A,MATCH(B3,'Dizionario campi'!B:B,0),1)</f>
        <v>D16</v>
      </c>
      <c r="B3" s="1" t="s">
        <v>36</v>
      </c>
      <c r="C3" t="s">
        <v>165</v>
      </c>
      <c r="D3" t="s">
        <v>133</v>
      </c>
    </row>
    <row r="4" spans="1:4">
      <c r="A4" t="str">
        <f>+INDEX('Dizionario campi'!A:A,MATCH(B4,'Dizionario campi'!B:B,0),1)</f>
        <v>D18</v>
      </c>
      <c r="B4" s="1" t="s">
        <v>169</v>
      </c>
      <c r="C4" t="s">
        <v>165</v>
      </c>
      <c r="D4" t="str">
        <f>+INDEX('Dizionario campi'!C:C,MATCH(B4,'Dizionario campi'!B:B,0),1)</f>
        <v>S1</v>
      </c>
    </row>
    <row r="5" spans="1:4">
      <c r="A5" t="str">
        <f>+INDEX('Dizionario campi'!A:A,MATCH(B5,'Dizionario campi'!B:B,0),1)</f>
        <v>D19</v>
      </c>
      <c r="B5" s="1" t="s">
        <v>44</v>
      </c>
      <c r="C5" t="s">
        <v>165</v>
      </c>
      <c r="D5" t="str">
        <f>+INDEX('Dizionario campi'!C:C,MATCH(B5,'Dizionario campi'!B:B,0),1)</f>
        <v>S1</v>
      </c>
    </row>
    <row r="6" spans="1:4">
      <c r="A6" t="str">
        <f>+INDEX('Dizionario campi'!A:A,MATCH(B6,'Dizionario campi'!B:B,0),1)</f>
        <v>D57</v>
      </c>
      <c r="B6" s="1" t="s">
        <v>132</v>
      </c>
      <c r="C6" t="s">
        <v>165</v>
      </c>
      <c r="D6" t="str">
        <f>+INDEX('Dizionario campi'!C:C,MATCH(B6,'Dizionario campi'!B:B,0),1)</f>
        <v>C2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zoomScale="137" workbookViewId="0">
      <selection activeCell="D8" sqref="D8"/>
    </sheetView>
  </sheetViews>
  <sheetFormatPr defaultRowHeight="14.45"/>
  <cols>
    <col min="1" max="1" width="14.42578125" bestFit="1" customWidth="1"/>
    <col min="2" max="2" width="20.28515625" bestFit="1" customWidth="1"/>
    <col min="3" max="3" width="13.7109375" bestFit="1" customWidth="1"/>
    <col min="4" max="4" width="7.28515625" bestFit="1" customWidth="1"/>
    <col min="5" max="5" width="8.5703125" bestFit="1" customWidth="1"/>
    <col min="6" max="6" width="11" bestFit="1" customWidth="1"/>
    <col min="7" max="7" width="11.7109375" bestFit="1" customWidth="1"/>
    <col min="8" max="8" width="14.140625" bestFit="1" customWidth="1"/>
    <col min="9" max="10" width="20.7109375" bestFit="1" customWidth="1"/>
    <col min="11" max="11" width="14.5703125" bestFit="1" customWidth="1"/>
    <col min="12" max="12" width="9.7109375" bestFit="1" customWidth="1"/>
    <col min="13" max="13" width="10.5703125" bestFit="1" customWidth="1"/>
    <col min="14" max="14" width="10.42578125" bestFit="1" customWidth="1"/>
    <col min="15" max="15" width="5.5703125" bestFit="1" customWidth="1"/>
    <col min="16" max="16" width="9.28515625" bestFit="1" customWidth="1"/>
    <col min="17" max="17" width="10.140625" bestFit="1" customWidth="1"/>
    <col min="18" max="18" width="11.28515625" bestFit="1" customWidth="1"/>
    <col min="19" max="19" width="5.7109375" bestFit="1" customWidth="1"/>
    <col min="20" max="20" width="19.5703125" bestFit="1" customWidth="1"/>
    <col min="21" max="21" width="18.85546875" bestFit="1" customWidth="1"/>
    <col min="22" max="22" width="13.85546875" bestFit="1" customWidth="1"/>
    <col min="23" max="23" width="15.42578125" bestFit="1" customWidth="1"/>
  </cols>
  <sheetData>
    <row r="1" spans="1:4">
      <c r="A1" t="s">
        <v>0</v>
      </c>
      <c r="B1" t="s">
        <v>1</v>
      </c>
      <c r="C1" t="s">
        <v>164</v>
      </c>
      <c r="D1" t="s">
        <v>2</v>
      </c>
    </row>
    <row r="2" spans="1:4">
      <c r="A2" t="str">
        <f>+INDEX('Dizionario campi'!A:A,MATCH(B2,'Dizionario campi'!B:B,0),1)</f>
        <v>D58</v>
      </c>
      <c r="B2" s="1" t="s">
        <v>135</v>
      </c>
      <c r="C2" t="s">
        <v>166</v>
      </c>
      <c r="D2" t="str">
        <f>+INDEX('Dizionario campi'!C:C,MATCH(B2,'Dizionario campi'!B:B,0),1)</f>
        <v>C3 / F1 / R1</v>
      </c>
    </row>
    <row r="3" spans="1:4">
      <c r="A3" t="str">
        <f>+INDEX('Dizionario campi'!A:A,MATCH(B3,'Dizionario campi'!B:B,0),1)</f>
        <v>D59</v>
      </c>
      <c r="B3" s="1" t="s">
        <v>138</v>
      </c>
      <c r="C3" t="s">
        <v>166</v>
      </c>
      <c r="D3" t="str">
        <f>+INDEX('Dizionario campi'!C:C,MATCH(B3,'Dizionario campi'!B:B,0),1)</f>
        <v>C3 / F1 / R1</v>
      </c>
    </row>
    <row r="4" spans="1:4">
      <c r="A4" t="str">
        <f>+INDEX('Dizionario campi'!A:A,MATCH(B4,'Dizionario campi'!B:B,0),1)</f>
        <v>D60</v>
      </c>
      <c r="B4" s="1" t="s">
        <v>140</v>
      </c>
      <c r="C4" t="s">
        <v>165</v>
      </c>
      <c r="D4" t="str">
        <f>+INDEX('Dizionario campi'!C:C,MATCH(B4,'Dizionario campi'!B:B,0),1)</f>
        <v>C3 / F1 / R1</v>
      </c>
    </row>
    <row r="5" spans="1:4">
      <c r="A5" t="str">
        <f>+INDEX('Dizionario campi'!A:A,MATCH(B5,'Dizionario campi'!B:B,0),1)</f>
        <v>D10</v>
      </c>
      <c r="B5" s="1" t="s">
        <v>23</v>
      </c>
      <c r="C5" t="s">
        <v>165</v>
      </c>
      <c r="D5" t="str">
        <f>+INDEX('Dizionario campi'!C:C,MATCH(B5,'Dizionario campi'!B:B,0),1)</f>
        <v>J2</v>
      </c>
    </row>
    <row r="6" spans="1:4">
      <c r="A6" t="str">
        <f>+INDEX('Dizionario campi'!A:A,MATCH(B6,'Dizionario campi'!B:B,0),1)</f>
        <v>D16</v>
      </c>
      <c r="B6" s="1" t="s">
        <v>36</v>
      </c>
      <c r="C6" t="s">
        <v>165</v>
      </c>
      <c r="D6" t="s">
        <v>40</v>
      </c>
    </row>
    <row r="7" spans="1:4">
      <c r="A7" t="str">
        <f>+INDEX('Dizionario campi'!A:A,MATCH(B7,'Dizionario campi'!B:B,0),1)</f>
        <v>D18</v>
      </c>
      <c r="B7" s="1" t="s">
        <v>169</v>
      </c>
      <c r="C7" t="s">
        <v>165</v>
      </c>
      <c r="D7" t="str">
        <f>+INDEX('Dizionario campi'!C:C,MATCH(B7,'Dizionario campi'!B:B,0),1)</f>
        <v>S1</v>
      </c>
    </row>
    <row r="8" spans="1:4">
      <c r="A8" t="str">
        <f>+INDEX('Dizionario campi'!A:A,MATCH(B8,'Dizionario campi'!B:B,0),1)</f>
        <v>D19</v>
      </c>
      <c r="B8" s="1" t="s">
        <v>44</v>
      </c>
      <c r="C8" t="s">
        <v>165</v>
      </c>
      <c r="D8" t="str">
        <f>+INDEX('Dizionario campi'!C:C,MATCH(B8,'Dizionario campi'!B:B,0),1)</f>
        <v>S1</v>
      </c>
    </row>
    <row r="9" spans="1:4">
      <c r="A9" t="str">
        <f>+INDEX('Dizionario campi'!A:A,MATCH(B9,'Dizionario campi'!B:B,0),1)</f>
        <v>D51</v>
      </c>
      <c r="B9" s="1" t="s">
        <v>119</v>
      </c>
      <c r="C9" t="s">
        <v>166</v>
      </c>
      <c r="D9" t="str">
        <f>+INDEX('Dizionario campi'!C:C,MATCH(B9,'Dizionario campi'!B:B,0),1)</f>
        <v>T10</v>
      </c>
    </row>
    <row r="10" spans="1:4">
      <c r="A10" t="str">
        <f>+INDEX('Dizionario campi'!A:A,MATCH(B10,'Dizionario campi'!B:B,0),1)</f>
        <v>D61</v>
      </c>
      <c r="B10" s="1" t="s">
        <v>142</v>
      </c>
      <c r="C10" t="s">
        <v>165</v>
      </c>
      <c r="D10" t="str">
        <f>+INDEX('Dizionario campi'!C:C,MATCH(B10,'Dizionario campi'!B:B,0),1)</f>
        <v>C3 / F1 / R1</v>
      </c>
    </row>
    <row r="11" spans="1:4">
      <c r="A11" t="str">
        <f>+INDEX('Dizionario campi'!A:A,MATCH(B11,'Dizionario campi'!B:B,0),1)</f>
        <v>D62</v>
      </c>
      <c r="B11" s="1" t="s">
        <v>144</v>
      </c>
      <c r="C11" t="s">
        <v>166</v>
      </c>
      <c r="D11" t="str">
        <f>+INDEX('Dizionario campi'!C:C,MATCH(B11,'Dizionario campi'!B:B,0),1)</f>
        <v>T12</v>
      </c>
    </row>
    <row r="12" spans="1:4">
      <c r="A12" t="str">
        <f>+INDEX('Dizionario campi'!A:A,MATCH(B12,'Dizionario campi'!B:B,0),1)</f>
        <v>D63</v>
      </c>
      <c r="B12" s="1" t="s">
        <v>147</v>
      </c>
      <c r="C12" t="s">
        <v>165</v>
      </c>
      <c r="D12" t="str">
        <f>+INDEX('Dizionario campi'!C:C,MATCH(B12,'Dizionario campi'!B:B,0),1)</f>
        <v>C3 / F1 / R1</v>
      </c>
    </row>
    <row r="13" spans="1:4">
      <c r="A13" t="str">
        <f>+INDEX('Dizionario campi'!A:A,MATCH(B13,'Dizionario campi'!B:B,0),1)</f>
        <v>D64</v>
      </c>
      <c r="B13" s="1" t="s">
        <v>149</v>
      </c>
      <c r="C13" t="s">
        <v>165</v>
      </c>
      <c r="D13" t="str">
        <f>+INDEX('Dizionario campi'!C:C,MATCH(B13,'Dizionario campi'!B:B,0),1)</f>
        <v>C3 / F1 / R1</v>
      </c>
    </row>
    <row r="14" spans="1:4">
      <c r="A14" t="str">
        <f>+INDEX('Dizionario campi'!A:A,MATCH(B14,'Dizionario campi'!B:B,0),1)</f>
        <v>D65</v>
      </c>
      <c r="B14" s="1" t="s">
        <v>151</v>
      </c>
      <c r="C14" t="s">
        <v>166</v>
      </c>
      <c r="D14" t="str">
        <f>+INDEX('Dizionario campi'!C:C,MATCH(B14,'Dizionario campi'!B:B,0),1)</f>
        <v>C3 / F1 / R1</v>
      </c>
    </row>
    <row r="15" spans="1:4">
      <c r="A15" t="str">
        <f>+INDEX('Dizionario campi'!A:A,MATCH(B15,'Dizionario campi'!B:B,0),1)</f>
        <v>D66</v>
      </c>
      <c r="B15" s="1" t="s">
        <v>153</v>
      </c>
      <c r="C15" t="s">
        <v>165</v>
      </c>
      <c r="D15" t="str">
        <f>+INDEX('Dizionario campi'!C:C,MATCH(B15,'Dizionario campi'!B:B,0),1)</f>
        <v>C3 / F1 / R1</v>
      </c>
    </row>
    <row r="16" spans="1:4">
      <c r="A16" t="str">
        <f>+INDEX('Dizionario campi'!A:A,MATCH(B16,'Dizionario campi'!B:B,0),1)</f>
        <v>D29</v>
      </c>
      <c r="B16" s="1" t="s">
        <v>66</v>
      </c>
      <c r="C16" t="s">
        <v>166</v>
      </c>
      <c r="D16" t="str">
        <f>+INDEX('Dizionario campi'!C:C,MATCH(B16,'Dizionario campi'!B:B,0),1)</f>
        <v>T13</v>
      </c>
    </row>
    <row r="17" spans="1:4">
      <c r="A17" t="str">
        <f>+INDEX('Dizionario campi'!A:A,MATCH(B17,'Dizionario campi'!B:B,0),1)</f>
        <v>D28</v>
      </c>
      <c r="B17" s="1" t="s">
        <v>63</v>
      </c>
      <c r="C17" t="s">
        <v>166</v>
      </c>
      <c r="D17" t="str">
        <f>+INDEX('Dizionario campi'!C:C,MATCH(B17,'Dizionario campi'!B:B,0),1)</f>
        <v>T13</v>
      </c>
    </row>
    <row r="18" spans="1:4">
      <c r="A18" t="str">
        <f>+INDEX('Dizionario campi'!A:A,MATCH(B18,'Dizionario campi'!B:B,0),1)</f>
        <v>D67</v>
      </c>
      <c r="B18" s="1" t="s">
        <v>155</v>
      </c>
      <c r="C18" t="s">
        <v>166</v>
      </c>
      <c r="D18" t="str">
        <f>+INDEX('Dizionario campi'!C:C,MATCH(B18,'Dizionario campi'!B:B,0),1)</f>
        <v>T13</v>
      </c>
    </row>
    <row r="19" spans="1:4">
      <c r="A19" t="str">
        <f>+INDEX('Dizionario campi'!A:A,MATCH(B19,'Dizionario campi'!B:B,0),1)</f>
        <v>D3</v>
      </c>
      <c r="B19" s="1" t="s">
        <v>9</v>
      </c>
      <c r="C19" t="s">
        <v>166</v>
      </c>
      <c r="D19" t="s">
        <v>64</v>
      </c>
    </row>
    <row r="20" spans="1:4">
      <c r="A20" t="str">
        <f>+INDEX('Dizionario campi'!A:A,MATCH(B20,'Dizionario campi'!B:B,0),1)</f>
        <v>D68</v>
      </c>
      <c r="B20" s="1" t="s">
        <v>157</v>
      </c>
      <c r="C20" t="s">
        <v>166</v>
      </c>
      <c r="D20" t="str">
        <f>+INDEX('Dizionario campi'!C:C,MATCH(B20,'Dizionario campi'!B:B,0),1)</f>
        <v>T13</v>
      </c>
    </row>
    <row r="21" spans="1:4">
      <c r="A21" t="str">
        <f>+INDEX('Dizionario campi'!A:A,MATCH(B21,'Dizionario campi'!B:B,0),1)</f>
        <v>D34</v>
      </c>
      <c r="B21" s="1" t="s">
        <v>77</v>
      </c>
      <c r="C21" t="s">
        <v>166</v>
      </c>
      <c r="D21" t="str">
        <f>+INDEX('Dizionario campi'!C:C,MATCH(B21,'Dizionario campi'!B:B,0),1)</f>
        <v>T5</v>
      </c>
    </row>
    <row r="22" spans="1:4">
      <c r="A22" t="str">
        <f>+INDEX('Dizionario campi'!A:A,MATCH(B22,'Dizionario campi'!B:B,0),1)</f>
        <v>D35</v>
      </c>
      <c r="B22" s="1" t="s">
        <v>79</v>
      </c>
      <c r="C22" t="s">
        <v>166</v>
      </c>
      <c r="D22" t="str">
        <f>+INDEX('Dizionario campi'!C:C,MATCH(B22,'Dizionario campi'!B:B,0),1)</f>
        <v>T5</v>
      </c>
    </row>
    <row r="23" spans="1:4">
      <c r="A23" t="str">
        <f>+INDEX('Dizionario campi'!A:A,MATCH(B23,'Dizionario campi'!B:B,0),1)</f>
        <v>D36</v>
      </c>
      <c r="B23" s="1" t="s">
        <v>81</v>
      </c>
      <c r="C23" t="s">
        <v>166</v>
      </c>
      <c r="D23" t="str">
        <f>+INDEX('Dizionario campi'!C:C,MATCH(B23,'Dizionario campi'!B:B,0),1)</f>
        <v>T6</v>
      </c>
    </row>
    <row r="24" spans="1:4">
      <c r="A24" t="str">
        <f>+INDEX('Dizionario campi'!A:A,MATCH(B24,'Dizionario campi'!B:B,0),1)</f>
        <v>D69</v>
      </c>
      <c r="B24" s="1" t="s">
        <v>159</v>
      </c>
      <c r="C24" t="s">
        <v>165</v>
      </c>
      <c r="D24" t="str">
        <f>+INDEX('Dizionario campi'!C:C,MATCH(B24,'Dizionario campi'!B:B,0),1)</f>
        <v>F1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F8C1811CFC2849BB075804AB038327" ma:contentTypeVersion="6" ma:contentTypeDescription="Creare un nuovo documento." ma:contentTypeScope="" ma:versionID="1b230245fb59b6fdb424d6c54a916aab">
  <xsd:schema xmlns:xsd="http://www.w3.org/2001/XMLSchema" xmlns:xs="http://www.w3.org/2001/XMLSchema" xmlns:p="http://schemas.microsoft.com/office/2006/metadata/properties" xmlns:ns2="353cd2e2-1c11-4b5c-bfac-90f4034b3f06" xmlns:ns3="c99eb337-000b-4878-a4ff-8330c82a1935" xmlns:ns4="f222903d-8679-43da-9a9c-620ddc805fc2" xmlns:ns5="7caceaca-20ef-42d2-b1d4-1dae242b6e79" targetNamespace="http://schemas.microsoft.com/office/2006/metadata/properties" ma:root="true" ma:fieldsID="7f283c8b4b9c24d4965e8c952d86eacf" ns2:_="" ns3:_="" ns4:_="" ns5:_="">
    <xsd:import namespace="353cd2e2-1c11-4b5c-bfac-90f4034b3f06"/>
    <xsd:import namespace="c99eb337-000b-4878-a4ff-8330c82a1935"/>
    <xsd:import namespace="f222903d-8679-43da-9a9c-620ddc805fc2"/>
    <xsd:import namespace="7caceaca-20ef-42d2-b1d4-1dae242b6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4:lcf76f155ced4ddcb4097134ff3c332f" minOccurs="0"/>
                <xsd:element ref="ns5:TaxCatchAll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cd2e2-1c11-4b5c-bfac-90f4034b3f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b337-000b-4878-a4ff-8330c82a19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tato consenso" ma:internalName="Stato_x0020_consens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2903d-8679-43da-9a9c-620ddc805f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Tag immagine" ma:readOnly="false" ma:fieldId="{5cf76f15-5ced-4ddc-b409-7134ff3c332f}" ma:taxonomyMulti="true" ma:sspId="5db8b724-95e9-4df4-b731-ff17bccab2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ceaca-20ef-42d2-b1d4-1dae242b6e79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7e1ba174-3a72-45b4-ac8b-44549940dce1}" ma:internalName="TaxCatchAll" ma:showField="CatchAllData" ma:web="7caceaca-20ef-42d2-b1d4-1dae242b6e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22903d-8679-43da-9a9c-620ddc805fc2">
      <Terms xmlns="http://schemas.microsoft.com/office/infopath/2007/PartnerControls"/>
    </lcf76f155ced4ddcb4097134ff3c332f>
    <TaxCatchAll xmlns="7caceaca-20ef-42d2-b1d4-1dae242b6e79" xsi:nil="true"/>
    <_Flow_SignoffStatus xmlns="c99eb337-000b-4878-a4ff-8330c82a193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08602E-AC1E-4ECD-8653-A6B6F36397CF}"/>
</file>

<file path=customXml/itemProps2.xml><?xml version="1.0" encoding="utf-8"?>
<ds:datastoreItem xmlns:ds="http://schemas.openxmlformats.org/officeDocument/2006/customXml" ds:itemID="{B431AC55-3896-4F85-BF95-40E5F7BAB33D}"/>
</file>

<file path=customXml/itemProps3.xml><?xml version="1.0" encoding="utf-8"?>
<ds:datastoreItem xmlns:ds="http://schemas.openxmlformats.org/officeDocument/2006/customXml" ds:itemID="{B27B83E2-F952-4A25-B1C1-9E857E7C18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Serena Benizzi</dc:creator>
  <cp:keywords/>
  <dc:description/>
  <cp:lastModifiedBy>Ignazio Ingenito</cp:lastModifiedBy>
  <cp:revision/>
  <dcterms:created xsi:type="dcterms:W3CDTF">2015-06-05T18:17:20Z</dcterms:created>
  <dcterms:modified xsi:type="dcterms:W3CDTF">2026-06-24T14:00:21Z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0x01010021F8C1811CFC2849BB075804AB038327</vt:lpwstr>
  </property>
  <property fmtid="{D5CDD505-2E9C-101B-9397-08002B2CF9AE}" pid="3" name="MediaServiceImageTags">
    <vt:lpwstr/>
  </property>
</Properties>
</file>